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OneDrive - Sindicato de Choferes del Canton Espejo\SINDICATO\SINDICATO\INVENTARIO_TEC_2025_REAL\"/>
    </mc:Choice>
  </mc:AlternateContent>
  <xr:revisionPtr revIDLastSave="0" documentId="13_ncr:1_{DBB57EBC-C098-4EFC-9C3B-2CF93B6DFE7A}" xr6:coauthVersionLast="47" xr6:coauthVersionMax="47" xr10:uidLastSave="{00000000-0000-0000-0000-000000000000}"/>
  <bookViews>
    <workbookView xWindow="-120" yWindow="-120" windowWidth="20730" windowHeight="11160" tabRatio="544" activeTab="3" xr2:uid="{00000000-000D-0000-FFFF-FFFF00000000}"/>
  </bookViews>
  <sheets>
    <sheet name="MENÚ" sheetId="10" r:id="rId1"/>
    <sheet name="BUSCA_PROD" sheetId="25" r:id="rId2"/>
    <sheet name="BUSCA_COD" sheetId="9" r:id="rId3"/>
    <sheet name="EDITABLE" sheetId="6" r:id="rId4"/>
    <sheet name="TODO_PROD" sheetId="26" r:id="rId5"/>
    <sheet name="TODO_COD" sheetId="7" r:id="rId6"/>
    <sheet name="RESUMEN X AREAS" sheetId="8" r:id="rId7"/>
  </sheets>
  <definedNames>
    <definedName name="_xlnm._FilterDatabase" localSheetId="3" hidden="1">EDITABLE!$A$12:$L$466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1" i="26" l="1"/>
  <c r="J372" i="26"/>
  <c r="J373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64" i="26"/>
  <c r="K365" i="26"/>
  <c r="K366" i="26"/>
  <c r="K367" i="26"/>
  <c r="K368" i="26"/>
  <c r="K369" i="26"/>
  <c r="K370" i="26"/>
  <c r="K355" i="26"/>
  <c r="K343" i="26"/>
  <c r="K344" i="26"/>
  <c r="K345" i="26"/>
  <c r="K346" i="26"/>
  <c r="K347" i="26"/>
  <c r="K348" i="26"/>
  <c r="K349" i="26"/>
  <c r="K49" i="26"/>
  <c r="K50" i="26"/>
  <c r="K51" i="26"/>
  <c r="K52" i="26"/>
  <c r="K53" i="26"/>
  <c r="K54" i="26"/>
  <c r="K55" i="26"/>
  <c r="K56" i="26"/>
  <c r="K57" i="26"/>
  <c r="K38" i="26"/>
  <c r="K39" i="26"/>
  <c r="K40" i="26"/>
  <c r="K41" i="26"/>
  <c r="K42" i="26"/>
  <c r="K43" i="26"/>
  <c r="K44" i="26"/>
  <c r="K25" i="26"/>
  <c r="K26" i="26"/>
  <c r="K27" i="26"/>
  <c r="K28" i="26"/>
  <c r="K29" i="26"/>
  <c r="K30" i="26"/>
  <c r="K31" i="26"/>
  <c r="K32" i="26"/>
  <c r="K33" i="26"/>
  <c r="K14" i="26"/>
  <c r="K15" i="26"/>
  <c r="K16" i="26"/>
  <c r="K17" i="26"/>
  <c r="K18" i="26"/>
  <c r="K19" i="26"/>
  <c r="K20" i="26"/>
  <c r="K21" i="26"/>
  <c r="K22" i="26"/>
  <c r="K23" i="26"/>
  <c r="K24" i="26"/>
  <c r="A350" i="26"/>
  <c r="A351" i="26"/>
  <c r="A349" i="26"/>
  <c r="A348" i="26"/>
  <c r="A342" i="26"/>
  <c r="A401" i="6"/>
  <c r="A400" i="6"/>
  <c r="A399" i="6"/>
  <c r="A398" i="6"/>
  <c r="B373" i="26" s="1"/>
  <c r="A397" i="6"/>
  <c r="B372" i="26" s="1"/>
  <c r="A396" i="6"/>
  <c r="A374" i="6"/>
  <c r="A372" i="6"/>
  <c r="A371" i="6"/>
  <c r="D38" i="8"/>
  <c r="A457" i="6"/>
  <c r="A410" i="7" s="1"/>
  <c r="A458" i="6"/>
  <c r="C18" i="8"/>
  <c r="C22" i="8"/>
  <c r="C25" i="8"/>
  <c r="K414" i="7"/>
  <c r="C17" i="8"/>
  <c r="C10" i="8"/>
  <c r="C11" i="8"/>
  <c r="C12" i="8"/>
  <c r="C15" i="8"/>
  <c r="C13" i="8"/>
  <c r="C14" i="8"/>
  <c r="C16" i="8"/>
  <c r="C33" i="8"/>
  <c r="C31" i="8"/>
  <c r="C32" i="8"/>
  <c r="C36" i="8"/>
  <c r="C21" i="8"/>
  <c r="C34" i="8"/>
  <c r="C29" i="8"/>
  <c r="C28" i="8"/>
  <c r="C19" i="8"/>
  <c r="C26" i="8"/>
  <c r="C35" i="8"/>
  <c r="C27" i="8"/>
  <c r="C30" i="8"/>
  <c r="C20" i="8"/>
  <c r="C23" i="8"/>
  <c r="C24" i="8"/>
  <c r="C9" i="8"/>
  <c r="L396" i="7"/>
  <c r="K396" i="7"/>
  <c r="J396" i="7"/>
  <c r="I396" i="7"/>
  <c r="H396" i="7"/>
  <c r="G396" i="7"/>
  <c r="F396" i="7"/>
  <c r="E396" i="7"/>
  <c r="D396" i="7"/>
  <c r="C396" i="7"/>
  <c r="B396" i="7"/>
  <c r="L416" i="7"/>
  <c r="K416" i="7"/>
  <c r="J416" i="7"/>
  <c r="I416" i="7"/>
  <c r="H416" i="7"/>
  <c r="G416" i="7"/>
  <c r="F416" i="7"/>
  <c r="E416" i="7"/>
  <c r="D416" i="7"/>
  <c r="C416" i="7"/>
  <c r="B416" i="7"/>
  <c r="A416" i="7"/>
  <c r="L415" i="7"/>
  <c r="K415" i="7"/>
  <c r="J415" i="7"/>
  <c r="I415" i="7"/>
  <c r="H415" i="7"/>
  <c r="G415" i="7"/>
  <c r="F415" i="7"/>
  <c r="E415" i="7"/>
  <c r="D415" i="7"/>
  <c r="C415" i="7"/>
  <c r="B415" i="7"/>
  <c r="A415" i="7"/>
  <c r="L414" i="7"/>
  <c r="J414" i="7"/>
  <c r="I414" i="7"/>
  <c r="H414" i="7"/>
  <c r="G414" i="7"/>
  <c r="F414" i="7"/>
  <c r="E414" i="7"/>
  <c r="D414" i="7"/>
  <c r="C414" i="7"/>
  <c r="B414" i="7"/>
  <c r="A414" i="7"/>
  <c r="L413" i="7"/>
  <c r="K413" i="7"/>
  <c r="J413" i="7"/>
  <c r="I413" i="7"/>
  <c r="H413" i="7"/>
  <c r="G413" i="7"/>
  <c r="F413" i="7"/>
  <c r="E413" i="7"/>
  <c r="D413" i="7"/>
  <c r="C413" i="7"/>
  <c r="B413" i="7"/>
  <c r="A413" i="7"/>
  <c r="L412" i="7"/>
  <c r="K412" i="7"/>
  <c r="J412" i="7"/>
  <c r="I412" i="7"/>
  <c r="H412" i="7"/>
  <c r="G412" i="7"/>
  <c r="F412" i="7"/>
  <c r="E412" i="7"/>
  <c r="D412" i="7"/>
  <c r="C412" i="7"/>
  <c r="B412" i="7"/>
  <c r="A412" i="7"/>
  <c r="L411" i="7"/>
  <c r="K411" i="7"/>
  <c r="J411" i="7"/>
  <c r="I411" i="7"/>
  <c r="H411" i="7"/>
  <c r="G411" i="7"/>
  <c r="F411" i="7"/>
  <c r="E411" i="7"/>
  <c r="D411" i="7"/>
  <c r="C411" i="7"/>
  <c r="B411" i="7"/>
  <c r="L410" i="7"/>
  <c r="K410" i="7"/>
  <c r="J410" i="7"/>
  <c r="I410" i="7"/>
  <c r="H410" i="7"/>
  <c r="G410" i="7"/>
  <c r="F410" i="7"/>
  <c r="E410" i="7"/>
  <c r="D410" i="7"/>
  <c r="C410" i="7"/>
  <c r="B410" i="7"/>
  <c r="L409" i="7"/>
  <c r="K409" i="7"/>
  <c r="J409" i="7"/>
  <c r="I409" i="7"/>
  <c r="H409" i="7"/>
  <c r="G409" i="7"/>
  <c r="F409" i="7"/>
  <c r="E409" i="7"/>
  <c r="D409" i="7"/>
  <c r="C409" i="7"/>
  <c r="B409" i="7"/>
  <c r="L408" i="7"/>
  <c r="K408" i="7"/>
  <c r="J408" i="7"/>
  <c r="I408" i="7"/>
  <c r="H408" i="7"/>
  <c r="G408" i="7"/>
  <c r="F408" i="7"/>
  <c r="E408" i="7"/>
  <c r="D408" i="7"/>
  <c r="C408" i="7"/>
  <c r="B408" i="7"/>
  <c r="L407" i="7"/>
  <c r="K407" i="7"/>
  <c r="J407" i="7"/>
  <c r="I407" i="7"/>
  <c r="H407" i="7"/>
  <c r="G407" i="7"/>
  <c r="F407" i="7"/>
  <c r="E407" i="7"/>
  <c r="D407" i="7"/>
  <c r="C407" i="7"/>
  <c r="B407" i="7"/>
  <c r="L406" i="7"/>
  <c r="K406" i="7"/>
  <c r="J406" i="7"/>
  <c r="I406" i="7"/>
  <c r="H406" i="7"/>
  <c r="G406" i="7"/>
  <c r="F406" i="7"/>
  <c r="E406" i="7"/>
  <c r="D406" i="7"/>
  <c r="C406" i="7"/>
  <c r="B406" i="7"/>
  <c r="L405" i="7"/>
  <c r="K405" i="7"/>
  <c r="J405" i="7"/>
  <c r="I405" i="7"/>
  <c r="H405" i="7"/>
  <c r="G405" i="7"/>
  <c r="F405" i="7"/>
  <c r="E405" i="7"/>
  <c r="D405" i="7"/>
  <c r="C405" i="7"/>
  <c r="B405" i="7"/>
  <c r="L404" i="7"/>
  <c r="K404" i="7"/>
  <c r="J404" i="7"/>
  <c r="I404" i="7"/>
  <c r="H404" i="7"/>
  <c r="G404" i="7"/>
  <c r="F404" i="7"/>
  <c r="E404" i="7"/>
  <c r="D404" i="7"/>
  <c r="C404" i="7"/>
  <c r="B404" i="7"/>
  <c r="L403" i="7"/>
  <c r="K403" i="7"/>
  <c r="J403" i="7"/>
  <c r="I403" i="7"/>
  <c r="H403" i="7"/>
  <c r="G403" i="7"/>
  <c r="F403" i="7"/>
  <c r="E403" i="7"/>
  <c r="D403" i="7"/>
  <c r="C403" i="7"/>
  <c r="B403" i="7"/>
  <c r="C397" i="26"/>
  <c r="D397" i="26"/>
  <c r="E397" i="26"/>
  <c r="F397" i="26"/>
  <c r="G397" i="26"/>
  <c r="H397" i="26"/>
  <c r="A397" i="26" s="1"/>
  <c r="I397" i="26"/>
  <c r="J397" i="26"/>
  <c r="K397" i="26"/>
  <c r="L397" i="26"/>
  <c r="B371" i="26"/>
  <c r="C371" i="26"/>
  <c r="D371" i="26"/>
  <c r="E371" i="26"/>
  <c r="F371" i="26"/>
  <c r="G371" i="26"/>
  <c r="H371" i="26"/>
  <c r="A371" i="26" s="1"/>
  <c r="I371" i="26"/>
  <c r="K371" i="26"/>
  <c r="L371" i="26"/>
  <c r="C372" i="26"/>
  <c r="D372" i="26"/>
  <c r="E372" i="26"/>
  <c r="F372" i="26"/>
  <c r="G372" i="26"/>
  <c r="H372" i="26"/>
  <c r="A372" i="26" s="1"/>
  <c r="I372" i="26"/>
  <c r="K372" i="26"/>
  <c r="L372" i="26"/>
  <c r="C373" i="26"/>
  <c r="D373" i="26"/>
  <c r="E373" i="26"/>
  <c r="F373" i="26"/>
  <c r="G373" i="26"/>
  <c r="H373" i="26"/>
  <c r="A373" i="26" s="1"/>
  <c r="I373" i="26"/>
  <c r="K373" i="26"/>
  <c r="L373" i="26"/>
  <c r="B361" i="26"/>
  <c r="C361" i="26"/>
  <c r="D361" i="26"/>
  <c r="E361" i="26"/>
  <c r="F361" i="26"/>
  <c r="G361" i="26"/>
  <c r="H361" i="26"/>
  <c r="A361" i="26" s="1"/>
  <c r="I361" i="26"/>
  <c r="J361" i="26"/>
  <c r="K361" i="26"/>
  <c r="L361" i="26"/>
  <c r="B362" i="26"/>
  <c r="C362" i="26"/>
  <c r="D362" i="26"/>
  <c r="E362" i="26"/>
  <c r="F362" i="26"/>
  <c r="G362" i="26"/>
  <c r="H362" i="26"/>
  <c r="A362" i="26" s="1"/>
  <c r="I362" i="26"/>
  <c r="J362" i="26"/>
  <c r="K362" i="26"/>
  <c r="L362" i="26"/>
  <c r="A408" i="7"/>
  <c r="A407" i="7"/>
  <c r="A405" i="7"/>
  <c r="A410" i="6"/>
  <c r="A411" i="6"/>
  <c r="A412" i="6"/>
  <c r="A396" i="7"/>
  <c r="A413" i="6"/>
  <c r="A414" i="6"/>
  <c r="A415" i="6"/>
  <c r="A416" i="6"/>
  <c r="A417" i="6"/>
  <c r="A418" i="6"/>
  <c r="A419" i="6"/>
  <c r="A420" i="6"/>
  <c r="A421" i="6"/>
  <c r="A422" i="6"/>
  <c r="A423" i="6"/>
  <c r="A424" i="6"/>
  <c r="B381" i="26" s="1"/>
  <c r="A425" i="6"/>
  <c r="B382" i="26" s="1"/>
  <c r="A426" i="6"/>
  <c r="B383" i="26" s="1"/>
  <c r="A427" i="6"/>
  <c r="B384" i="26" s="1"/>
  <c r="A404" i="6"/>
  <c r="L375" i="26"/>
  <c r="L376" i="26"/>
  <c r="L377" i="26"/>
  <c r="L378" i="26"/>
  <c r="L379" i="26"/>
  <c r="L380" i="26"/>
  <c r="L381" i="26"/>
  <c r="L382" i="26"/>
  <c r="L383" i="26"/>
  <c r="L384" i="26"/>
  <c r="L385" i="26"/>
  <c r="L386" i="26"/>
  <c r="L387" i="26"/>
  <c r="L388" i="26"/>
  <c r="L389" i="26"/>
  <c r="L390" i="26"/>
  <c r="L391" i="26"/>
  <c r="L392" i="26"/>
  <c r="L393" i="26"/>
  <c r="L394" i="26"/>
  <c r="L395" i="26"/>
  <c r="L396" i="26"/>
  <c r="L374" i="26"/>
  <c r="L364" i="26"/>
  <c r="L365" i="26"/>
  <c r="L366" i="26"/>
  <c r="L367" i="26"/>
  <c r="L368" i="26"/>
  <c r="L369" i="26"/>
  <c r="L370" i="26"/>
  <c r="L363" i="26"/>
  <c r="L360" i="26"/>
  <c r="L359" i="26"/>
  <c r="L355" i="26"/>
  <c r="L356" i="26"/>
  <c r="L357" i="26"/>
  <c r="L358" i="26"/>
  <c r="L354" i="26"/>
  <c r="L343" i="26"/>
  <c r="L344" i="26"/>
  <c r="L345" i="26"/>
  <c r="L346" i="26"/>
  <c r="L347" i="26"/>
  <c r="L348" i="26"/>
  <c r="L349" i="26"/>
  <c r="L353" i="26"/>
  <c r="L342" i="26"/>
  <c r="L338" i="26"/>
  <c r="L339" i="26"/>
  <c r="L340" i="26"/>
  <c r="L341" i="26"/>
  <c r="L337" i="26"/>
  <c r="L323" i="26"/>
  <c r="L324" i="26"/>
  <c r="L325" i="26"/>
  <c r="L326" i="26"/>
  <c r="L327" i="26"/>
  <c r="L328" i="26"/>
  <c r="L329" i="26"/>
  <c r="L330" i="26"/>
  <c r="L331" i="26"/>
  <c r="L332" i="26"/>
  <c r="L333" i="26"/>
  <c r="L334" i="26"/>
  <c r="L335" i="26"/>
  <c r="L336" i="26"/>
  <c r="L322" i="26"/>
  <c r="L318" i="26"/>
  <c r="L319" i="26"/>
  <c r="L320" i="26"/>
  <c r="L321" i="26"/>
  <c r="L317" i="26"/>
  <c r="L308" i="26"/>
  <c r="L309" i="26"/>
  <c r="L310" i="26"/>
  <c r="L311" i="26"/>
  <c r="L312" i="26"/>
  <c r="L313" i="26"/>
  <c r="L314" i="26"/>
  <c r="L315" i="26"/>
  <c r="L316" i="26"/>
  <c r="L30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4" i="26"/>
  <c r="L265" i="26"/>
  <c r="L266" i="26"/>
  <c r="L267" i="26"/>
  <c r="L268" i="26"/>
  <c r="L269" i="26"/>
  <c r="L270" i="26"/>
  <c r="L271" i="26"/>
  <c r="L272" i="26"/>
  <c r="L273" i="26"/>
  <c r="L274" i="26"/>
  <c r="L275" i="26"/>
  <c r="L276" i="26"/>
  <c r="L277" i="26"/>
  <c r="L278" i="26"/>
  <c r="L279" i="26"/>
  <c r="L280" i="26"/>
  <c r="L281" i="26"/>
  <c r="L282" i="26"/>
  <c r="L283" i="26"/>
  <c r="L284" i="26"/>
  <c r="L285" i="26"/>
  <c r="L286" i="26"/>
  <c r="L287" i="26"/>
  <c r="L288" i="26"/>
  <c r="L289" i="26"/>
  <c r="L290" i="26"/>
  <c r="L291" i="26"/>
  <c r="L292" i="26"/>
  <c r="L293" i="26"/>
  <c r="L294" i="26"/>
  <c r="L295" i="26"/>
  <c r="L296" i="26"/>
  <c r="L297" i="26"/>
  <c r="L298" i="26"/>
  <c r="L299" i="26"/>
  <c r="L300" i="26"/>
  <c r="L301" i="26"/>
  <c r="L302" i="26"/>
  <c r="L303" i="26"/>
  <c r="L304" i="26"/>
  <c r="L305" i="26"/>
  <c r="L306" i="26"/>
  <c r="L217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03" i="26"/>
  <c r="L195" i="26"/>
  <c r="L196" i="26"/>
  <c r="L197" i="26"/>
  <c r="L198" i="26"/>
  <c r="L199" i="26"/>
  <c r="L200" i="26"/>
  <c r="L201" i="26"/>
  <c r="L202" i="26"/>
  <c r="L194" i="26"/>
  <c r="L191" i="26"/>
  <c r="L192" i="26"/>
  <c r="L193" i="26"/>
  <c r="L190" i="26"/>
  <c r="L185" i="26"/>
  <c r="L186" i="26"/>
  <c r="L187" i="26"/>
  <c r="L188" i="26"/>
  <c r="L189" i="26"/>
  <c r="L184" i="26"/>
  <c r="L177" i="26"/>
  <c r="L178" i="26"/>
  <c r="L179" i="26"/>
  <c r="L180" i="26"/>
  <c r="L181" i="26"/>
  <c r="L182" i="26"/>
  <c r="L183" i="26"/>
  <c r="L176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51" i="26"/>
  <c r="L143" i="26"/>
  <c r="L144" i="26"/>
  <c r="L145" i="26"/>
  <c r="L146" i="26"/>
  <c r="L147" i="26"/>
  <c r="L148" i="26"/>
  <c r="L149" i="26"/>
  <c r="L150" i="26"/>
  <c r="L142" i="26"/>
  <c r="L132" i="26"/>
  <c r="L133" i="26"/>
  <c r="L134" i="26"/>
  <c r="L135" i="26"/>
  <c r="L136" i="26"/>
  <c r="L137" i="26"/>
  <c r="L138" i="26"/>
  <c r="L139" i="26"/>
  <c r="L140" i="26"/>
  <c r="L141" i="26"/>
  <c r="L131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15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97" i="26"/>
  <c r="L93" i="26"/>
  <c r="L94" i="26"/>
  <c r="L95" i="26"/>
  <c r="L96" i="26"/>
  <c r="L92" i="26"/>
  <c r="L83" i="26"/>
  <c r="L84" i="26"/>
  <c r="L85" i="26"/>
  <c r="L86" i="26"/>
  <c r="L87" i="26"/>
  <c r="L88" i="26"/>
  <c r="L89" i="26"/>
  <c r="L90" i="26"/>
  <c r="L91" i="26"/>
  <c r="L82" i="26"/>
  <c r="L73" i="26"/>
  <c r="L74" i="26"/>
  <c r="L75" i="26"/>
  <c r="L76" i="26"/>
  <c r="L77" i="26"/>
  <c r="L78" i="26"/>
  <c r="L79" i="26"/>
  <c r="L80" i="26"/>
  <c r="L81" i="26"/>
  <c r="L72" i="26"/>
  <c r="L62" i="26"/>
  <c r="L63" i="26"/>
  <c r="L64" i="26"/>
  <c r="L65" i="26"/>
  <c r="L66" i="26"/>
  <c r="L67" i="26"/>
  <c r="L68" i="26"/>
  <c r="L69" i="26"/>
  <c r="L70" i="26"/>
  <c r="L71" i="26"/>
  <c r="L61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48" i="26"/>
  <c r="L38" i="26"/>
  <c r="L39" i="26"/>
  <c r="L40" i="26"/>
  <c r="L41" i="26"/>
  <c r="L42" i="26"/>
  <c r="L43" i="26"/>
  <c r="L44" i="26"/>
  <c r="L45" i="26"/>
  <c r="L46" i="26"/>
  <c r="L47" i="26"/>
  <c r="L37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24" i="26"/>
  <c r="L14" i="26"/>
  <c r="L15" i="26"/>
  <c r="L16" i="26"/>
  <c r="L17" i="26"/>
  <c r="L18" i="26"/>
  <c r="L19" i="26"/>
  <c r="L20" i="26"/>
  <c r="L21" i="26"/>
  <c r="L22" i="26"/>
  <c r="L23" i="26"/>
  <c r="L13" i="26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7" i="7"/>
  <c r="L398" i="7"/>
  <c r="L399" i="7"/>
  <c r="L400" i="7"/>
  <c r="L401" i="7"/>
  <c r="L402" i="7"/>
  <c r="L371" i="7"/>
  <c r="L361" i="7"/>
  <c r="L362" i="7"/>
  <c r="L363" i="7"/>
  <c r="L364" i="7"/>
  <c r="L365" i="7"/>
  <c r="L366" i="7"/>
  <c r="L367" i="7"/>
  <c r="L368" i="7"/>
  <c r="L369" i="7"/>
  <c r="L370" i="7"/>
  <c r="L360" i="7"/>
  <c r="L357" i="7"/>
  <c r="L358" i="7"/>
  <c r="L359" i="7"/>
  <c r="L356" i="7"/>
  <c r="L352" i="7"/>
  <c r="L353" i="7"/>
  <c r="L354" i="7"/>
  <c r="L355" i="7"/>
  <c r="L351" i="7"/>
  <c r="L343" i="7"/>
  <c r="L344" i="7"/>
  <c r="L345" i="7"/>
  <c r="L346" i="7"/>
  <c r="L347" i="7"/>
  <c r="L348" i="7"/>
  <c r="L349" i="7"/>
  <c r="L350" i="7"/>
  <c r="L342" i="7"/>
  <c r="L338" i="7"/>
  <c r="L339" i="7"/>
  <c r="L340" i="7"/>
  <c r="L341" i="7"/>
  <c r="L337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22" i="7"/>
  <c r="L318" i="7"/>
  <c r="L319" i="7"/>
  <c r="L320" i="7"/>
  <c r="L321" i="7"/>
  <c r="L317" i="7"/>
  <c r="L308" i="7"/>
  <c r="L309" i="7"/>
  <c r="L310" i="7"/>
  <c r="L311" i="7"/>
  <c r="L312" i="7"/>
  <c r="L313" i="7"/>
  <c r="L314" i="7"/>
  <c r="L315" i="7"/>
  <c r="L316" i="7"/>
  <c r="L30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217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03" i="7"/>
  <c r="L195" i="7"/>
  <c r="L196" i="7"/>
  <c r="L197" i="7"/>
  <c r="L198" i="7"/>
  <c r="L199" i="7"/>
  <c r="L200" i="7"/>
  <c r="L201" i="7"/>
  <c r="L202" i="7"/>
  <c r="L194" i="7"/>
  <c r="L191" i="7"/>
  <c r="L192" i="7"/>
  <c r="L193" i="7"/>
  <c r="L190" i="7"/>
  <c r="L185" i="7"/>
  <c r="L186" i="7"/>
  <c r="L187" i="7"/>
  <c r="L188" i="7"/>
  <c r="L189" i="7"/>
  <c r="L184" i="7"/>
  <c r="L177" i="7"/>
  <c r="L178" i="7"/>
  <c r="L179" i="7"/>
  <c r="L180" i="7"/>
  <c r="L181" i="7"/>
  <c r="L182" i="7"/>
  <c r="L183" i="7"/>
  <c r="L176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51" i="7"/>
  <c r="L143" i="7"/>
  <c r="L144" i="7"/>
  <c r="L145" i="7"/>
  <c r="L146" i="7"/>
  <c r="L147" i="7"/>
  <c r="L148" i="7"/>
  <c r="L149" i="7"/>
  <c r="L150" i="7"/>
  <c r="L142" i="7"/>
  <c r="L132" i="7"/>
  <c r="L133" i="7"/>
  <c r="L134" i="7"/>
  <c r="L135" i="7"/>
  <c r="L136" i="7"/>
  <c r="L137" i="7"/>
  <c r="L138" i="7"/>
  <c r="L139" i="7"/>
  <c r="L140" i="7"/>
  <c r="L141" i="7"/>
  <c r="L131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15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14" i="7"/>
  <c r="L15" i="7"/>
  <c r="L16" i="7"/>
  <c r="L17" i="7"/>
  <c r="L18" i="7"/>
  <c r="L19" i="7"/>
  <c r="L20" i="7"/>
  <c r="L21" i="7"/>
  <c r="L22" i="7"/>
  <c r="L23" i="7"/>
  <c r="L13" i="7"/>
  <c r="A21" i="6"/>
  <c r="B21" i="26" s="1"/>
  <c r="A22" i="6"/>
  <c r="B22" i="26" s="1"/>
  <c r="A23" i="6"/>
  <c r="B23" i="26" s="1"/>
  <c r="C21" i="26"/>
  <c r="D21" i="26"/>
  <c r="E21" i="26"/>
  <c r="F21" i="26"/>
  <c r="G21" i="26"/>
  <c r="H21" i="26"/>
  <c r="A21" i="26" s="1"/>
  <c r="I21" i="26"/>
  <c r="J21" i="26"/>
  <c r="C22" i="26"/>
  <c r="D22" i="26"/>
  <c r="E22" i="26"/>
  <c r="F22" i="26"/>
  <c r="G22" i="26"/>
  <c r="H22" i="26"/>
  <c r="A22" i="26" s="1"/>
  <c r="I22" i="26"/>
  <c r="J22" i="26"/>
  <c r="C23" i="26"/>
  <c r="D23" i="26"/>
  <c r="E23" i="26"/>
  <c r="F23" i="26"/>
  <c r="G23" i="26"/>
  <c r="H23" i="26"/>
  <c r="A23" i="26" s="1"/>
  <c r="I23" i="26"/>
  <c r="J23" i="26"/>
  <c r="C34" i="26"/>
  <c r="D34" i="26"/>
  <c r="E34" i="26"/>
  <c r="F34" i="26"/>
  <c r="G34" i="26"/>
  <c r="H34" i="26"/>
  <c r="A34" i="26" s="1"/>
  <c r="I34" i="26"/>
  <c r="J34" i="26"/>
  <c r="K34" i="26"/>
  <c r="C35" i="26"/>
  <c r="D35" i="26"/>
  <c r="E35" i="26"/>
  <c r="F35" i="26"/>
  <c r="G35" i="26"/>
  <c r="H35" i="26"/>
  <c r="A35" i="26" s="1"/>
  <c r="I35" i="26"/>
  <c r="J35" i="26"/>
  <c r="K35" i="26"/>
  <c r="C36" i="26"/>
  <c r="D36" i="26"/>
  <c r="E36" i="26"/>
  <c r="F36" i="26"/>
  <c r="G36" i="26"/>
  <c r="H36" i="26"/>
  <c r="A36" i="26" s="1"/>
  <c r="I36" i="26"/>
  <c r="J36" i="26"/>
  <c r="K36" i="26"/>
  <c r="C45" i="26"/>
  <c r="D45" i="26"/>
  <c r="E45" i="26"/>
  <c r="F45" i="26"/>
  <c r="G45" i="26"/>
  <c r="H45" i="26"/>
  <c r="A45" i="26" s="1"/>
  <c r="I45" i="26"/>
  <c r="J45" i="26"/>
  <c r="K45" i="26"/>
  <c r="C46" i="26"/>
  <c r="D46" i="26"/>
  <c r="E46" i="26"/>
  <c r="F46" i="26"/>
  <c r="G46" i="26"/>
  <c r="H46" i="26"/>
  <c r="A46" i="26" s="1"/>
  <c r="I46" i="26"/>
  <c r="J46" i="26"/>
  <c r="K46" i="26"/>
  <c r="C47" i="26"/>
  <c r="D47" i="26"/>
  <c r="E47" i="26"/>
  <c r="F47" i="26"/>
  <c r="G47" i="26"/>
  <c r="H47" i="26"/>
  <c r="A47" i="26" s="1"/>
  <c r="I47" i="26"/>
  <c r="J47" i="26"/>
  <c r="K47" i="26"/>
  <c r="C58" i="26"/>
  <c r="D58" i="26"/>
  <c r="E58" i="26"/>
  <c r="F58" i="26"/>
  <c r="G58" i="26"/>
  <c r="H58" i="26"/>
  <c r="A58" i="26" s="1"/>
  <c r="I58" i="26"/>
  <c r="J58" i="26"/>
  <c r="K58" i="26"/>
  <c r="C59" i="26"/>
  <c r="D59" i="26"/>
  <c r="E59" i="26"/>
  <c r="F59" i="26"/>
  <c r="G59" i="26"/>
  <c r="H59" i="26"/>
  <c r="A59" i="26" s="1"/>
  <c r="I59" i="26"/>
  <c r="J59" i="26"/>
  <c r="K59" i="26"/>
  <c r="C60" i="26"/>
  <c r="D60" i="26"/>
  <c r="E60" i="26"/>
  <c r="F60" i="26"/>
  <c r="G60" i="26"/>
  <c r="H60" i="26"/>
  <c r="A60" i="26" s="1"/>
  <c r="I60" i="26"/>
  <c r="J60" i="26"/>
  <c r="K60" i="26"/>
  <c r="C69" i="26"/>
  <c r="D69" i="26"/>
  <c r="E69" i="26"/>
  <c r="F69" i="26"/>
  <c r="G69" i="26"/>
  <c r="H69" i="26"/>
  <c r="A69" i="26" s="1"/>
  <c r="I69" i="26"/>
  <c r="J69" i="26"/>
  <c r="K69" i="26"/>
  <c r="C70" i="26"/>
  <c r="D70" i="26"/>
  <c r="E70" i="26"/>
  <c r="F70" i="26"/>
  <c r="G70" i="26"/>
  <c r="H70" i="26"/>
  <c r="A70" i="26" s="1"/>
  <c r="I70" i="26"/>
  <c r="J70" i="26"/>
  <c r="K70" i="26"/>
  <c r="C71" i="26"/>
  <c r="D71" i="26"/>
  <c r="E71" i="26"/>
  <c r="F71" i="26"/>
  <c r="G71" i="26"/>
  <c r="H71" i="26"/>
  <c r="A71" i="26" s="1"/>
  <c r="I71" i="26"/>
  <c r="J71" i="26"/>
  <c r="K71" i="26"/>
  <c r="C79" i="26"/>
  <c r="D79" i="26"/>
  <c r="E79" i="26"/>
  <c r="F79" i="26"/>
  <c r="G79" i="26"/>
  <c r="H79" i="26"/>
  <c r="A79" i="26" s="1"/>
  <c r="I79" i="26"/>
  <c r="J79" i="26"/>
  <c r="K79" i="26"/>
  <c r="C80" i="26"/>
  <c r="D80" i="26"/>
  <c r="E80" i="26"/>
  <c r="F80" i="26"/>
  <c r="G80" i="26"/>
  <c r="H80" i="26"/>
  <c r="A80" i="26" s="1"/>
  <c r="I80" i="26"/>
  <c r="J80" i="26"/>
  <c r="K80" i="26"/>
  <c r="C81" i="26"/>
  <c r="D81" i="26"/>
  <c r="E81" i="26"/>
  <c r="F81" i="26"/>
  <c r="G81" i="26"/>
  <c r="H81" i="26"/>
  <c r="A81" i="26" s="1"/>
  <c r="I81" i="26"/>
  <c r="J81" i="26"/>
  <c r="K81" i="26"/>
  <c r="C89" i="26"/>
  <c r="D89" i="26"/>
  <c r="E89" i="26"/>
  <c r="F89" i="26"/>
  <c r="G89" i="26"/>
  <c r="H89" i="26"/>
  <c r="A89" i="26" s="1"/>
  <c r="I89" i="26"/>
  <c r="J89" i="26"/>
  <c r="K89" i="26"/>
  <c r="C90" i="26"/>
  <c r="D90" i="26"/>
  <c r="E90" i="26"/>
  <c r="F90" i="26"/>
  <c r="G90" i="26"/>
  <c r="H90" i="26"/>
  <c r="A90" i="26" s="1"/>
  <c r="I90" i="26"/>
  <c r="J90" i="26"/>
  <c r="K90" i="26"/>
  <c r="C91" i="26"/>
  <c r="D91" i="26"/>
  <c r="E91" i="26"/>
  <c r="F91" i="26"/>
  <c r="G91" i="26"/>
  <c r="H91" i="26"/>
  <c r="A91" i="26" s="1"/>
  <c r="I91" i="26"/>
  <c r="J91" i="26"/>
  <c r="K91" i="26"/>
  <c r="C94" i="26"/>
  <c r="D94" i="26"/>
  <c r="E94" i="26"/>
  <c r="F94" i="26"/>
  <c r="G94" i="26"/>
  <c r="H94" i="26"/>
  <c r="A94" i="26" s="1"/>
  <c r="I94" i="26"/>
  <c r="J94" i="26"/>
  <c r="K94" i="26"/>
  <c r="C95" i="26"/>
  <c r="D95" i="26"/>
  <c r="E95" i="26"/>
  <c r="F95" i="26"/>
  <c r="G95" i="26"/>
  <c r="H95" i="26"/>
  <c r="A95" i="26" s="1"/>
  <c r="I95" i="26"/>
  <c r="J95" i="26"/>
  <c r="K95" i="26"/>
  <c r="C96" i="26"/>
  <c r="D96" i="26"/>
  <c r="E96" i="26"/>
  <c r="F96" i="26"/>
  <c r="G96" i="26"/>
  <c r="H96" i="26"/>
  <c r="A96" i="26" s="1"/>
  <c r="I96" i="26"/>
  <c r="J96" i="26"/>
  <c r="K96" i="26"/>
  <c r="C112" i="26"/>
  <c r="D112" i="26"/>
  <c r="E112" i="26"/>
  <c r="F112" i="26"/>
  <c r="G112" i="26"/>
  <c r="H112" i="26"/>
  <c r="A112" i="26" s="1"/>
  <c r="I112" i="26"/>
  <c r="J112" i="26"/>
  <c r="K112" i="26"/>
  <c r="C113" i="26"/>
  <c r="D113" i="26"/>
  <c r="E113" i="26"/>
  <c r="F113" i="26"/>
  <c r="G113" i="26"/>
  <c r="H113" i="26"/>
  <c r="A113" i="26" s="1"/>
  <c r="I113" i="26"/>
  <c r="J113" i="26"/>
  <c r="K113" i="26"/>
  <c r="C114" i="26"/>
  <c r="D114" i="26"/>
  <c r="E114" i="26"/>
  <c r="F114" i="26"/>
  <c r="G114" i="26"/>
  <c r="H114" i="26"/>
  <c r="A114" i="26" s="1"/>
  <c r="I114" i="26"/>
  <c r="J114" i="26"/>
  <c r="K114" i="26"/>
  <c r="C128" i="26"/>
  <c r="D128" i="26"/>
  <c r="E128" i="26"/>
  <c r="F128" i="26"/>
  <c r="G128" i="26"/>
  <c r="H128" i="26"/>
  <c r="A128" i="26" s="1"/>
  <c r="I128" i="26"/>
  <c r="J128" i="26"/>
  <c r="K128" i="26"/>
  <c r="C129" i="26"/>
  <c r="D129" i="26"/>
  <c r="E129" i="26"/>
  <c r="F129" i="26"/>
  <c r="G129" i="26"/>
  <c r="H129" i="26"/>
  <c r="A129" i="26" s="1"/>
  <c r="I129" i="26"/>
  <c r="J129" i="26"/>
  <c r="K129" i="26"/>
  <c r="C130" i="26"/>
  <c r="D130" i="26"/>
  <c r="E130" i="26"/>
  <c r="F130" i="26"/>
  <c r="G130" i="26"/>
  <c r="H130" i="26"/>
  <c r="A130" i="26" s="1"/>
  <c r="I130" i="26"/>
  <c r="J130" i="26"/>
  <c r="K130" i="26"/>
  <c r="C139" i="26"/>
  <c r="D139" i="26"/>
  <c r="E139" i="26"/>
  <c r="F139" i="26"/>
  <c r="G139" i="26"/>
  <c r="H139" i="26"/>
  <c r="A139" i="26" s="1"/>
  <c r="I139" i="26"/>
  <c r="J139" i="26"/>
  <c r="K139" i="26"/>
  <c r="C140" i="26"/>
  <c r="D140" i="26"/>
  <c r="E140" i="26"/>
  <c r="F140" i="26"/>
  <c r="G140" i="26"/>
  <c r="H140" i="26"/>
  <c r="A140" i="26" s="1"/>
  <c r="I140" i="26"/>
  <c r="J140" i="26"/>
  <c r="K140" i="26"/>
  <c r="C141" i="26"/>
  <c r="D141" i="26"/>
  <c r="E141" i="26"/>
  <c r="F141" i="26"/>
  <c r="G141" i="26"/>
  <c r="H141" i="26"/>
  <c r="A141" i="26" s="1"/>
  <c r="I141" i="26"/>
  <c r="J141" i="26"/>
  <c r="K141" i="26"/>
  <c r="C148" i="26"/>
  <c r="D148" i="26"/>
  <c r="E148" i="26"/>
  <c r="F148" i="26"/>
  <c r="G148" i="26"/>
  <c r="H148" i="26"/>
  <c r="A148" i="26" s="1"/>
  <c r="I148" i="26"/>
  <c r="J148" i="26"/>
  <c r="K148" i="26"/>
  <c r="C149" i="26"/>
  <c r="D149" i="26"/>
  <c r="E149" i="26"/>
  <c r="F149" i="26"/>
  <c r="G149" i="26"/>
  <c r="H149" i="26"/>
  <c r="A149" i="26" s="1"/>
  <c r="I149" i="26"/>
  <c r="J149" i="26"/>
  <c r="K149" i="26"/>
  <c r="C150" i="26"/>
  <c r="D150" i="26"/>
  <c r="E150" i="26"/>
  <c r="F150" i="26"/>
  <c r="G150" i="26"/>
  <c r="H150" i="26"/>
  <c r="A150" i="26" s="1"/>
  <c r="I150" i="26"/>
  <c r="J150" i="26"/>
  <c r="K150" i="26"/>
  <c r="C173" i="26"/>
  <c r="D173" i="26"/>
  <c r="E173" i="26"/>
  <c r="F173" i="26"/>
  <c r="G173" i="26"/>
  <c r="H173" i="26"/>
  <c r="A173" i="26" s="1"/>
  <c r="I173" i="26"/>
  <c r="J173" i="26"/>
  <c r="K173" i="26"/>
  <c r="C174" i="26"/>
  <c r="D174" i="26"/>
  <c r="E174" i="26"/>
  <c r="F174" i="26"/>
  <c r="G174" i="26"/>
  <c r="H174" i="26"/>
  <c r="A174" i="26" s="1"/>
  <c r="I174" i="26"/>
  <c r="J174" i="26"/>
  <c r="K174" i="26"/>
  <c r="C175" i="26"/>
  <c r="D175" i="26"/>
  <c r="E175" i="26"/>
  <c r="F175" i="26"/>
  <c r="G175" i="26"/>
  <c r="H175" i="26"/>
  <c r="A175" i="26" s="1"/>
  <c r="I175" i="26"/>
  <c r="J175" i="26"/>
  <c r="K175" i="26"/>
  <c r="C181" i="26"/>
  <c r="D181" i="26"/>
  <c r="E181" i="26"/>
  <c r="F181" i="26"/>
  <c r="G181" i="26"/>
  <c r="H181" i="26"/>
  <c r="A181" i="26" s="1"/>
  <c r="I181" i="26"/>
  <c r="J181" i="26"/>
  <c r="K181" i="26"/>
  <c r="C182" i="26"/>
  <c r="D182" i="26"/>
  <c r="E182" i="26"/>
  <c r="F182" i="26"/>
  <c r="G182" i="26"/>
  <c r="H182" i="26"/>
  <c r="A182" i="26" s="1"/>
  <c r="I182" i="26"/>
  <c r="J182" i="26"/>
  <c r="K182" i="26"/>
  <c r="C183" i="26"/>
  <c r="D183" i="26"/>
  <c r="E183" i="26"/>
  <c r="F183" i="26"/>
  <c r="G183" i="26"/>
  <c r="H183" i="26"/>
  <c r="A183" i="26" s="1"/>
  <c r="I183" i="26"/>
  <c r="J183" i="26"/>
  <c r="K183" i="26"/>
  <c r="C187" i="26"/>
  <c r="D187" i="26"/>
  <c r="E187" i="26"/>
  <c r="F187" i="26"/>
  <c r="G187" i="26"/>
  <c r="H187" i="26"/>
  <c r="A187" i="26" s="1"/>
  <c r="I187" i="26"/>
  <c r="J187" i="26"/>
  <c r="K187" i="26"/>
  <c r="C188" i="26"/>
  <c r="D188" i="26"/>
  <c r="E188" i="26"/>
  <c r="F188" i="26"/>
  <c r="G188" i="26"/>
  <c r="H188" i="26"/>
  <c r="A188" i="26" s="1"/>
  <c r="I188" i="26"/>
  <c r="J188" i="26"/>
  <c r="K188" i="26"/>
  <c r="C189" i="26"/>
  <c r="D189" i="26"/>
  <c r="E189" i="26"/>
  <c r="F189" i="26"/>
  <c r="G189" i="26"/>
  <c r="H189" i="26"/>
  <c r="A189" i="26" s="1"/>
  <c r="I189" i="26"/>
  <c r="J189" i="26"/>
  <c r="K189" i="26"/>
  <c r="C191" i="26"/>
  <c r="D191" i="26"/>
  <c r="E191" i="26"/>
  <c r="F191" i="26"/>
  <c r="G191" i="26"/>
  <c r="H191" i="26"/>
  <c r="A191" i="26" s="1"/>
  <c r="I191" i="26"/>
  <c r="J191" i="26"/>
  <c r="K191" i="26"/>
  <c r="C192" i="26"/>
  <c r="D192" i="26"/>
  <c r="E192" i="26"/>
  <c r="F192" i="26"/>
  <c r="G192" i="26"/>
  <c r="H192" i="26"/>
  <c r="A192" i="26" s="1"/>
  <c r="I192" i="26"/>
  <c r="J192" i="26"/>
  <c r="K192" i="26"/>
  <c r="C193" i="26"/>
  <c r="D193" i="26"/>
  <c r="E193" i="26"/>
  <c r="F193" i="26"/>
  <c r="G193" i="26"/>
  <c r="H193" i="26"/>
  <c r="A193" i="26" s="1"/>
  <c r="I193" i="26"/>
  <c r="J193" i="26"/>
  <c r="K193" i="26"/>
  <c r="C200" i="26"/>
  <c r="D200" i="26"/>
  <c r="E200" i="26"/>
  <c r="F200" i="26"/>
  <c r="G200" i="26"/>
  <c r="H200" i="26"/>
  <c r="A200" i="26" s="1"/>
  <c r="I200" i="26"/>
  <c r="J200" i="26"/>
  <c r="K200" i="26"/>
  <c r="C201" i="26"/>
  <c r="D201" i="26"/>
  <c r="E201" i="26"/>
  <c r="F201" i="26"/>
  <c r="G201" i="26"/>
  <c r="H201" i="26"/>
  <c r="A201" i="26" s="1"/>
  <c r="I201" i="26"/>
  <c r="J201" i="26"/>
  <c r="K201" i="26"/>
  <c r="C202" i="26"/>
  <c r="D202" i="26"/>
  <c r="E202" i="26"/>
  <c r="F202" i="26"/>
  <c r="G202" i="26"/>
  <c r="H202" i="26"/>
  <c r="A202" i="26" s="1"/>
  <c r="I202" i="26"/>
  <c r="J202" i="26"/>
  <c r="K202" i="26"/>
  <c r="C214" i="26"/>
  <c r="D214" i="26"/>
  <c r="E214" i="26"/>
  <c r="F214" i="26"/>
  <c r="G214" i="26"/>
  <c r="H214" i="26"/>
  <c r="A214" i="26" s="1"/>
  <c r="I214" i="26"/>
  <c r="J214" i="26"/>
  <c r="K214" i="26"/>
  <c r="C215" i="26"/>
  <c r="D215" i="26"/>
  <c r="E215" i="26"/>
  <c r="F215" i="26"/>
  <c r="G215" i="26"/>
  <c r="H215" i="26"/>
  <c r="A215" i="26" s="1"/>
  <c r="I215" i="26"/>
  <c r="J215" i="26"/>
  <c r="K215" i="26"/>
  <c r="C216" i="26"/>
  <c r="D216" i="26"/>
  <c r="E216" i="26"/>
  <c r="F216" i="26"/>
  <c r="G216" i="26"/>
  <c r="H216" i="26"/>
  <c r="A216" i="26" s="1"/>
  <c r="I216" i="26"/>
  <c r="J216" i="26"/>
  <c r="K216" i="26"/>
  <c r="C304" i="26"/>
  <c r="D304" i="26"/>
  <c r="E304" i="26"/>
  <c r="F304" i="26"/>
  <c r="G304" i="26"/>
  <c r="H304" i="26"/>
  <c r="A304" i="26" s="1"/>
  <c r="I304" i="26"/>
  <c r="J304" i="26"/>
  <c r="K304" i="26"/>
  <c r="C305" i="26"/>
  <c r="D305" i="26"/>
  <c r="E305" i="26"/>
  <c r="F305" i="26"/>
  <c r="G305" i="26"/>
  <c r="H305" i="26"/>
  <c r="A305" i="26" s="1"/>
  <c r="I305" i="26"/>
  <c r="J305" i="26"/>
  <c r="K305" i="26"/>
  <c r="C306" i="26"/>
  <c r="D306" i="26"/>
  <c r="E306" i="26"/>
  <c r="F306" i="26"/>
  <c r="G306" i="26"/>
  <c r="H306" i="26"/>
  <c r="A306" i="26" s="1"/>
  <c r="I306" i="26"/>
  <c r="J306" i="26"/>
  <c r="K306" i="26"/>
  <c r="C314" i="26"/>
  <c r="D314" i="26"/>
  <c r="E314" i="26"/>
  <c r="F314" i="26"/>
  <c r="G314" i="26"/>
  <c r="H314" i="26"/>
  <c r="A314" i="26" s="1"/>
  <c r="I314" i="26"/>
  <c r="J314" i="26"/>
  <c r="K314" i="26"/>
  <c r="C315" i="26"/>
  <c r="D315" i="26"/>
  <c r="E315" i="26"/>
  <c r="F315" i="26"/>
  <c r="G315" i="26"/>
  <c r="H315" i="26"/>
  <c r="A315" i="26" s="1"/>
  <c r="I315" i="26"/>
  <c r="J315" i="26"/>
  <c r="K315" i="26"/>
  <c r="C316" i="26"/>
  <c r="D316" i="26"/>
  <c r="E316" i="26"/>
  <c r="F316" i="26"/>
  <c r="G316" i="26"/>
  <c r="H316" i="26"/>
  <c r="A316" i="26" s="1"/>
  <c r="I316" i="26"/>
  <c r="J316" i="26"/>
  <c r="K316" i="26"/>
  <c r="C319" i="26"/>
  <c r="D319" i="26"/>
  <c r="E319" i="26"/>
  <c r="F319" i="26"/>
  <c r="G319" i="26"/>
  <c r="H319" i="26"/>
  <c r="A319" i="26" s="1"/>
  <c r="I319" i="26"/>
  <c r="J319" i="26"/>
  <c r="K319" i="26"/>
  <c r="C320" i="26"/>
  <c r="D320" i="26"/>
  <c r="E320" i="26"/>
  <c r="F320" i="26"/>
  <c r="G320" i="26"/>
  <c r="H320" i="26"/>
  <c r="A320" i="26" s="1"/>
  <c r="I320" i="26"/>
  <c r="J320" i="26"/>
  <c r="K320" i="26"/>
  <c r="C321" i="26"/>
  <c r="D321" i="26"/>
  <c r="E321" i="26"/>
  <c r="F321" i="26"/>
  <c r="G321" i="26"/>
  <c r="H321" i="26"/>
  <c r="A321" i="26" s="1"/>
  <c r="I321" i="26"/>
  <c r="J321" i="26"/>
  <c r="K321" i="26"/>
  <c r="C334" i="26"/>
  <c r="D334" i="26"/>
  <c r="E334" i="26"/>
  <c r="F334" i="26"/>
  <c r="G334" i="26"/>
  <c r="H334" i="26"/>
  <c r="A334" i="26" s="1"/>
  <c r="I334" i="26"/>
  <c r="J334" i="26"/>
  <c r="K334" i="26"/>
  <c r="C335" i="26"/>
  <c r="D335" i="26"/>
  <c r="E335" i="26"/>
  <c r="F335" i="26"/>
  <c r="G335" i="26"/>
  <c r="H335" i="26"/>
  <c r="A335" i="26" s="1"/>
  <c r="I335" i="26"/>
  <c r="J335" i="26"/>
  <c r="K335" i="26"/>
  <c r="C336" i="26"/>
  <c r="D336" i="26"/>
  <c r="E336" i="26"/>
  <c r="F336" i="26"/>
  <c r="G336" i="26"/>
  <c r="H336" i="26"/>
  <c r="A336" i="26" s="1"/>
  <c r="I336" i="26"/>
  <c r="J336" i="26"/>
  <c r="K336" i="26"/>
  <c r="C339" i="26"/>
  <c r="D339" i="26"/>
  <c r="E339" i="26"/>
  <c r="F339" i="26"/>
  <c r="G339" i="26"/>
  <c r="H339" i="26"/>
  <c r="A339" i="26" s="1"/>
  <c r="I339" i="26"/>
  <c r="J339" i="26"/>
  <c r="K339" i="26"/>
  <c r="C340" i="26"/>
  <c r="D340" i="26"/>
  <c r="E340" i="26"/>
  <c r="F340" i="26"/>
  <c r="G340" i="26"/>
  <c r="H340" i="26"/>
  <c r="A340" i="26" s="1"/>
  <c r="I340" i="26"/>
  <c r="J340" i="26"/>
  <c r="K340" i="26"/>
  <c r="C341" i="26"/>
  <c r="D341" i="26"/>
  <c r="E341" i="26"/>
  <c r="F341" i="26"/>
  <c r="G341" i="26"/>
  <c r="H341" i="26"/>
  <c r="A341" i="26" s="1"/>
  <c r="I341" i="26"/>
  <c r="J341" i="26"/>
  <c r="K341" i="26"/>
  <c r="C348" i="26"/>
  <c r="D348" i="26"/>
  <c r="E348" i="26"/>
  <c r="F348" i="26"/>
  <c r="G348" i="26"/>
  <c r="H348" i="26"/>
  <c r="I348" i="26"/>
  <c r="J348" i="26"/>
  <c r="C349" i="26"/>
  <c r="D349" i="26"/>
  <c r="E349" i="26"/>
  <c r="F349" i="26"/>
  <c r="G349" i="26"/>
  <c r="H349" i="26"/>
  <c r="I349" i="26"/>
  <c r="J349" i="26"/>
  <c r="C353" i="26"/>
  <c r="D353" i="26"/>
  <c r="E353" i="26"/>
  <c r="F353" i="26"/>
  <c r="G353" i="26"/>
  <c r="H353" i="26"/>
  <c r="A353" i="26" s="1"/>
  <c r="I353" i="26"/>
  <c r="J353" i="26"/>
  <c r="K353" i="26"/>
  <c r="C356" i="26"/>
  <c r="D356" i="26"/>
  <c r="E356" i="26"/>
  <c r="F356" i="26"/>
  <c r="G356" i="26"/>
  <c r="H356" i="26"/>
  <c r="A356" i="26" s="1"/>
  <c r="I356" i="26"/>
  <c r="J356" i="26"/>
  <c r="K356" i="26"/>
  <c r="C357" i="26"/>
  <c r="D357" i="26"/>
  <c r="E357" i="26"/>
  <c r="F357" i="26"/>
  <c r="G357" i="26"/>
  <c r="H357" i="26"/>
  <c r="A357" i="26" s="1"/>
  <c r="I357" i="26"/>
  <c r="J357" i="26"/>
  <c r="K357" i="26"/>
  <c r="C358" i="26"/>
  <c r="D358" i="26"/>
  <c r="E358" i="26"/>
  <c r="F358" i="26"/>
  <c r="G358" i="26"/>
  <c r="H358" i="26"/>
  <c r="A358" i="26" s="1"/>
  <c r="I358" i="26"/>
  <c r="J358" i="26"/>
  <c r="K358" i="26"/>
  <c r="B21" i="7"/>
  <c r="C21" i="7"/>
  <c r="D21" i="7"/>
  <c r="E21" i="7"/>
  <c r="F21" i="7"/>
  <c r="G21" i="7"/>
  <c r="H21" i="7"/>
  <c r="I21" i="7"/>
  <c r="J21" i="7"/>
  <c r="K21" i="7"/>
  <c r="B22" i="7"/>
  <c r="C22" i="7"/>
  <c r="D22" i="7"/>
  <c r="E22" i="7"/>
  <c r="F22" i="7"/>
  <c r="G22" i="7"/>
  <c r="H22" i="7"/>
  <c r="I22" i="7"/>
  <c r="J22" i="7"/>
  <c r="K22" i="7"/>
  <c r="B23" i="7"/>
  <c r="C23" i="7"/>
  <c r="D23" i="7"/>
  <c r="E23" i="7"/>
  <c r="F23" i="7"/>
  <c r="G23" i="7"/>
  <c r="H23" i="7"/>
  <c r="I23" i="7"/>
  <c r="J23" i="7"/>
  <c r="K23" i="7"/>
  <c r="B34" i="7"/>
  <c r="C34" i="7"/>
  <c r="D34" i="7"/>
  <c r="E34" i="7"/>
  <c r="F34" i="7"/>
  <c r="G34" i="7"/>
  <c r="H34" i="7"/>
  <c r="I34" i="7"/>
  <c r="J34" i="7"/>
  <c r="K34" i="7"/>
  <c r="B35" i="7"/>
  <c r="C35" i="7"/>
  <c r="D35" i="7"/>
  <c r="E35" i="7"/>
  <c r="F35" i="7"/>
  <c r="G35" i="7"/>
  <c r="H35" i="7"/>
  <c r="I35" i="7"/>
  <c r="J35" i="7"/>
  <c r="K35" i="7"/>
  <c r="B36" i="7"/>
  <c r="C36" i="7"/>
  <c r="D36" i="7"/>
  <c r="E36" i="7"/>
  <c r="F36" i="7"/>
  <c r="G36" i="7"/>
  <c r="H36" i="7"/>
  <c r="I36" i="7"/>
  <c r="J36" i="7"/>
  <c r="K36" i="7"/>
  <c r="B45" i="7"/>
  <c r="C45" i="7"/>
  <c r="D45" i="7"/>
  <c r="E45" i="7"/>
  <c r="F45" i="7"/>
  <c r="G45" i="7"/>
  <c r="H45" i="7"/>
  <c r="I45" i="7"/>
  <c r="J45" i="7"/>
  <c r="K45" i="7"/>
  <c r="B46" i="7"/>
  <c r="C46" i="7"/>
  <c r="D46" i="7"/>
  <c r="E46" i="7"/>
  <c r="F46" i="7"/>
  <c r="G46" i="7"/>
  <c r="H46" i="7"/>
  <c r="I46" i="7"/>
  <c r="J46" i="7"/>
  <c r="K46" i="7"/>
  <c r="B47" i="7"/>
  <c r="C47" i="7"/>
  <c r="D47" i="7"/>
  <c r="E47" i="7"/>
  <c r="F47" i="7"/>
  <c r="G47" i="7"/>
  <c r="H47" i="7"/>
  <c r="I47" i="7"/>
  <c r="J47" i="7"/>
  <c r="K47" i="7"/>
  <c r="B69" i="7"/>
  <c r="C69" i="7"/>
  <c r="D69" i="7"/>
  <c r="E69" i="7"/>
  <c r="F69" i="7"/>
  <c r="G69" i="7"/>
  <c r="H69" i="7"/>
  <c r="I69" i="7"/>
  <c r="J69" i="7"/>
  <c r="K69" i="7"/>
  <c r="B70" i="7"/>
  <c r="C70" i="7"/>
  <c r="D70" i="7"/>
  <c r="E70" i="7"/>
  <c r="F70" i="7"/>
  <c r="G70" i="7"/>
  <c r="H70" i="7"/>
  <c r="I70" i="7"/>
  <c r="J70" i="7"/>
  <c r="K70" i="7"/>
  <c r="B71" i="7"/>
  <c r="C71" i="7"/>
  <c r="D71" i="7"/>
  <c r="E71" i="7"/>
  <c r="F71" i="7"/>
  <c r="G71" i="7"/>
  <c r="H71" i="7"/>
  <c r="I71" i="7"/>
  <c r="J71" i="7"/>
  <c r="K71" i="7"/>
  <c r="B79" i="7"/>
  <c r="C79" i="7"/>
  <c r="D79" i="7"/>
  <c r="E79" i="7"/>
  <c r="F79" i="7"/>
  <c r="G79" i="7"/>
  <c r="H79" i="7"/>
  <c r="I79" i="7"/>
  <c r="J79" i="7"/>
  <c r="K79" i="7"/>
  <c r="B80" i="7"/>
  <c r="C80" i="7"/>
  <c r="D80" i="7"/>
  <c r="E80" i="7"/>
  <c r="F80" i="7"/>
  <c r="G80" i="7"/>
  <c r="H80" i="7"/>
  <c r="I80" i="7"/>
  <c r="J80" i="7"/>
  <c r="K80" i="7"/>
  <c r="B81" i="7"/>
  <c r="C81" i="7"/>
  <c r="D81" i="7"/>
  <c r="E81" i="7"/>
  <c r="F81" i="7"/>
  <c r="G81" i="7"/>
  <c r="H81" i="7"/>
  <c r="I81" i="7"/>
  <c r="J81" i="7"/>
  <c r="K81" i="7"/>
  <c r="B89" i="7"/>
  <c r="C89" i="7"/>
  <c r="D89" i="7"/>
  <c r="E89" i="7"/>
  <c r="F89" i="7"/>
  <c r="G89" i="7"/>
  <c r="H89" i="7"/>
  <c r="I89" i="7"/>
  <c r="J89" i="7"/>
  <c r="K89" i="7"/>
  <c r="B90" i="7"/>
  <c r="C90" i="7"/>
  <c r="D90" i="7"/>
  <c r="E90" i="7"/>
  <c r="F90" i="7"/>
  <c r="G90" i="7"/>
  <c r="H90" i="7"/>
  <c r="I90" i="7"/>
  <c r="J90" i="7"/>
  <c r="K90" i="7"/>
  <c r="B91" i="7"/>
  <c r="C91" i="7"/>
  <c r="D91" i="7"/>
  <c r="E91" i="7"/>
  <c r="F91" i="7"/>
  <c r="G91" i="7"/>
  <c r="H91" i="7"/>
  <c r="I91" i="7"/>
  <c r="J91" i="7"/>
  <c r="K91" i="7"/>
  <c r="B94" i="7"/>
  <c r="C94" i="7"/>
  <c r="D94" i="7"/>
  <c r="E94" i="7"/>
  <c r="F94" i="7"/>
  <c r="G94" i="7"/>
  <c r="H94" i="7"/>
  <c r="I94" i="7"/>
  <c r="J94" i="7"/>
  <c r="K94" i="7"/>
  <c r="B95" i="7"/>
  <c r="C95" i="7"/>
  <c r="D95" i="7"/>
  <c r="E95" i="7"/>
  <c r="F95" i="7"/>
  <c r="G95" i="7"/>
  <c r="H95" i="7"/>
  <c r="I95" i="7"/>
  <c r="J95" i="7"/>
  <c r="K95" i="7"/>
  <c r="B96" i="7"/>
  <c r="C96" i="7"/>
  <c r="D96" i="7"/>
  <c r="E96" i="7"/>
  <c r="F96" i="7"/>
  <c r="G96" i="7"/>
  <c r="H96" i="7"/>
  <c r="I96" i="7"/>
  <c r="J96" i="7"/>
  <c r="K96" i="7"/>
  <c r="B112" i="7"/>
  <c r="C112" i="7"/>
  <c r="D112" i="7"/>
  <c r="E112" i="7"/>
  <c r="F112" i="7"/>
  <c r="G112" i="7"/>
  <c r="H112" i="7"/>
  <c r="I112" i="7"/>
  <c r="J112" i="7"/>
  <c r="K112" i="7"/>
  <c r="B113" i="7"/>
  <c r="C113" i="7"/>
  <c r="D113" i="7"/>
  <c r="E113" i="7"/>
  <c r="F113" i="7"/>
  <c r="G113" i="7"/>
  <c r="H113" i="7"/>
  <c r="I113" i="7"/>
  <c r="J113" i="7"/>
  <c r="K113" i="7"/>
  <c r="B114" i="7"/>
  <c r="C114" i="7"/>
  <c r="D114" i="7"/>
  <c r="E114" i="7"/>
  <c r="F114" i="7"/>
  <c r="G114" i="7"/>
  <c r="H114" i="7"/>
  <c r="I114" i="7"/>
  <c r="J114" i="7"/>
  <c r="K114" i="7"/>
  <c r="B128" i="7"/>
  <c r="C128" i="7"/>
  <c r="D128" i="7"/>
  <c r="E128" i="7"/>
  <c r="F128" i="7"/>
  <c r="G128" i="7"/>
  <c r="H128" i="7"/>
  <c r="I128" i="7"/>
  <c r="J128" i="7"/>
  <c r="K128" i="7"/>
  <c r="B129" i="7"/>
  <c r="C129" i="7"/>
  <c r="D129" i="7"/>
  <c r="E129" i="7"/>
  <c r="F129" i="7"/>
  <c r="G129" i="7"/>
  <c r="H129" i="7"/>
  <c r="I129" i="7"/>
  <c r="J129" i="7"/>
  <c r="K129" i="7"/>
  <c r="B130" i="7"/>
  <c r="C130" i="7"/>
  <c r="D130" i="7"/>
  <c r="E130" i="7"/>
  <c r="F130" i="7"/>
  <c r="G130" i="7"/>
  <c r="H130" i="7"/>
  <c r="I130" i="7"/>
  <c r="J130" i="7"/>
  <c r="K130" i="7"/>
  <c r="B139" i="7"/>
  <c r="C139" i="7"/>
  <c r="D139" i="7"/>
  <c r="E139" i="7"/>
  <c r="F139" i="7"/>
  <c r="G139" i="7"/>
  <c r="H139" i="7"/>
  <c r="I139" i="7"/>
  <c r="J139" i="7"/>
  <c r="K139" i="7"/>
  <c r="B140" i="7"/>
  <c r="C140" i="7"/>
  <c r="D140" i="7"/>
  <c r="E140" i="7"/>
  <c r="F140" i="7"/>
  <c r="G140" i="7"/>
  <c r="H140" i="7"/>
  <c r="I140" i="7"/>
  <c r="J140" i="7"/>
  <c r="K140" i="7"/>
  <c r="B141" i="7"/>
  <c r="C141" i="7"/>
  <c r="D141" i="7"/>
  <c r="E141" i="7"/>
  <c r="F141" i="7"/>
  <c r="G141" i="7"/>
  <c r="H141" i="7"/>
  <c r="I141" i="7"/>
  <c r="J141" i="7"/>
  <c r="K141" i="7"/>
  <c r="B148" i="7"/>
  <c r="C148" i="7"/>
  <c r="D148" i="7"/>
  <c r="E148" i="7"/>
  <c r="F148" i="7"/>
  <c r="G148" i="7"/>
  <c r="H148" i="7"/>
  <c r="I148" i="7"/>
  <c r="J148" i="7"/>
  <c r="K148" i="7"/>
  <c r="B149" i="7"/>
  <c r="C149" i="7"/>
  <c r="D149" i="7"/>
  <c r="E149" i="7"/>
  <c r="F149" i="7"/>
  <c r="G149" i="7"/>
  <c r="H149" i="7"/>
  <c r="I149" i="7"/>
  <c r="J149" i="7"/>
  <c r="K149" i="7"/>
  <c r="B150" i="7"/>
  <c r="C150" i="7"/>
  <c r="D150" i="7"/>
  <c r="E150" i="7"/>
  <c r="F150" i="7"/>
  <c r="G150" i="7"/>
  <c r="H150" i="7"/>
  <c r="I150" i="7"/>
  <c r="J150" i="7"/>
  <c r="K150" i="7"/>
  <c r="B173" i="7"/>
  <c r="C173" i="7"/>
  <c r="D173" i="7"/>
  <c r="E173" i="7"/>
  <c r="F173" i="7"/>
  <c r="G173" i="7"/>
  <c r="H173" i="7"/>
  <c r="I173" i="7"/>
  <c r="J173" i="7"/>
  <c r="K173" i="7"/>
  <c r="B174" i="7"/>
  <c r="C174" i="7"/>
  <c r="D174" i="7"/>
  <c r="E174" i="7"/>
  <c r="F174" i="7"/>
  <c r="G174" i="7"/>
  <c r="H174" i="7"/>
  <c r="I174" i="7"/>
  <c r="J174" i="7"/>
  <c r="K174" i="7"/>
  <c r="B175" i="7"/>
  <c r="C175" i="7"/>
  <c r="D175" i="7"/>
  <c r="E175" i="7"/>
  <c r="F175" i="7"/>
  <c r="G175" i="7"/>
  <c r="H175" i="7"/>
  <c r="I175" i="7"/>
  <c r="J175" i="7"/>
  <c r="K175" i="7"/>
  <c r="B181" i="7"/>
  <c r="C181" i="7"/>
  <c r="D181" i="7"/>
  <c r="E181" i="7"/>
  <c r="F181" i="7"/>
  <c r="G181" i="7"/>
  <c r="H181" i="7"/>
  <c r="I181" i="7"/>
  <c r="J181" i="7"/>
  <c r="K181" i="7"/>
  <c r="B182" i="7"/>
  <c r="C182" i="7"/>
  <c r="D182" i="7"/>
  <c r="E182" i="7"/>
  <c r="F182" i="7"/>
  <c r="G182" i="7"/>
  <c r="H182" i="7"/>
  <c r="I182" i="7"/>
  <c r="J182" i="7"/>
  <c r="K182" i="7"/>
  <c r="B183" i="7"/>
  <c r="C183" i="7"/>
  <c r="D183" i="7"/>
  <c r="E183" i="7"/>
  <c r="F183" i="7"/>
  <c r="G183" i="7"/>
  <c r="H183" i="7"/>
  <c r="I183" i="7"/>
  <c r="J183" i="7"/>
  <c r="K183" i="7"/>
  <c r="B187" i="7"/>
  <c r="C187" i="7"/>
  <c r="D187" i="7"/>
  <c r="E187" i="7"/>
  <c r="F187" i="7"/>
  <c r="G187" i="7"/>
  <c r="H187" i="7"/>
  <c r="I187" i="7"/>
  <c r="J187" i="7"/>
  <c r="K187" i="7"/>
  <c r="B188" i="7"/>
  <c r="C188" i="7"/>
  <c r="D188" i="7"/>
  <c r="E188" i="7"/>
  <c r="F188" i="7"/>
  <c r="G188" i="7"/>
  <c r="H188" i="7"/>
  <c r="I188" i="7"/>
  <c r="J188" i="7"/>
  <c r="K188" i="7"/>
  <c r="B189" i="7"/>
  <c r="C189" i="7"/>
  <c r="D189" i="7"/>
  <c r="E189" i="7"/>
  <c r="F189" i="7"/>
  <c r="G189" i="7"/>
  <c r="H189" i="7"/>
  <c r="I189" i="7"/>
  <c r="J189" i="7"/>
  <c r="K189" i="7"/>
  <c r="B191" i="7"/>
  <c r="C191" i="7"/>
  <c r="D191" i="7"/>
  <c r="E191" i="7"/>
  <c r="F191" i="7"/>
  <c r="G191" i="7"/>
  <c r="H191" i="7"/>
  <c r="I191" i="7"/>
  <c r="J191" i="7"/>
  <c r="K191" i="7"/>
  <c r="B192" i="7"/>
  <c r="C192" i="7"/>
  <c r="D192" i="7"/>
  <c r="E192" i="7"/>
  <c r="F192" i="7"/>
  <c r="G192" i="7"/>
  <c r="H192" i="7"/>
  <c r="I192" i="7"/>
  <c r="J192" i="7"/>
  <c r="K192" i="7"/>
  <c r="B193" i="7"/>
  <c r="C193" i="7"/>
  <c r="D193" i="7"/>
  <c r="E193" i="7"/>
  <c r="F193" i="7"/>
  <c r="G193" i="7"/>
  <c r="H193" i="7"/>
  <c r="I193" i="7"/>
  <c r="J193" i="7"/>
  <c r="K193" i="7"/>
  <c r="B200" i="7"/>
  <c r="C200" i="7"/>
  <c r="D200" i="7"/>
  <c r="E200" i="7"/>
  <c r="F200" i="7"/>
  <c r="G200" i="7"/>
  <c r="H200" i="7"/>
  <c r="I200" i="7"/>
  <c r="J200" i="7"/>
  <c r="K200" i="7"/>
  <c r="B201" i="7"/>
  <c r="C201" i="7"/>
  <c r="D201" i="7"/>
  <c r="E201" i="7"/>
  <c r="F201" i="7"/>
  <c r="G201" i="7"/>
  <c r="H201" i="7"/>
  <c r="I201" i="7"/>
  <c r="J201" i="7"/>
  <c r="K201" i="7"/>
  <c r="B202" i="7"/>
  <c r="C202" i="7"/>
  <c r="D202" i="7"/>
  <c r="E202" i="7"/>
  <c r="F202" i="7"/>
  <c r="G202" i="7"/>
  <c r="H202" i="7"/>
  <c r="I202" i="7"/>
  <c r="J202" i="7"/>
  <c r="K202" i="7"/>
  <c r="B214" i="7"/>
  <c r="C214" i="7"/>
  <c r="D214" i="7"/>
  <c r="E214" i="7"/>
  <c r="F214" i="7"/>
  <c r="G214" i="7"/>
  <c r="H214" i="7"/>
  <c r="I214" i="7"/>
  <c r="J214" i="7"/>
  <c r="K214" i="7"/>
  <c r="B215" i="7"/>
  <c r="C215" i="7"/>
  <c r="D215" i="7"/>
  <c r="E215" i="7"/>
  <c r="F215" i="7"/>
  <c r="G215" i="7"/>
  <c r="H215" i="7"/>
  <c r="I215" i="7"/>
  <c r="J215" i="7"/>
  <c r="K215" i="7"/>
  <c r="B216" i="7"/>
  <c r="C216" i="7"/>
  <c r="D216" i="7"/>
  <c r="E216" i="7"/>
  <c r="F216" i="7"/>
  <c r="G216" i="7"/>
  <c r="H216" i="7"/>
  <c r="I216" i="7"/>
  <c r="J216" i="7"/>
  <c r="K216" i="7"/>
  <c r="B304" i="7"/>
  <c r="C304" i="7"/>
  <c r="D304" i="7"/>
  <c r="E304" i="7"/>
  <c r="F304" i="7"/>
  <c r="G304" i="7"/>
  <c r="H304" i="7"/>
  <c r="I304" i="7"/>
  <c r="J304" i="7"/>
  <c r="K304" i="7"/>
  <c r="B305" i="7"/>
  <c r="C305" i="7"/>
  <c r="D305" i="7"/>
  <c r="E305" i="7"/>
  <c r="F305" i="7"/>
  <c r="G305" i="7"/>
  <c r="H305" i="7"/>
  <c r="I305" i="7"/>
  <c r="J305" i="7"/>
  <c r="K305" i="7"/>
  <c r="B306" i="7"/>
  <c r="C306" i="7"/>
  <c r="D306" i="7"/>
  <c r="E306" i="7"/>
  <c r="F306" i="7"/>
  <c r="G306" i="7"/>
  <c r="H306" i="7"/>
  <c r="I306" i="7"/>
  <c r="J306" i="7"/>
  <c r="K306" i="7"/>
  <c r="B314" i="7"/>
  <c r="C314" i="7"/>
  <c r="D314" i="7"/>
  <c r="E314" i="7"/>
  <c r="F314" i="7"/>
  <c r="G314" i="7"/>
  <c r="H314" i="7"/>
  <c r="I314" i="7"/>
  <c r="J314" i="7"/>
  <c r="K314" i="7"/>
  <c r="B315" i="7"/>
  <c r="C315" i="7"/>
  <c r="D315" i="7"/>
  <c r="E315" i="7"/>
  <c r="F315" i="7"/>
  <c r="G315" i="7"/>
  <c r="H315" i="7"/>
  <c r="I315" i="7"/>
  <c r="J315" i="7"/>
  <c r="K315" i="7"/>
  <c r="B316" i="7"/>
  <c r="C316" i="7"/>
  <c r="D316" i="7"/>
  <c r="E316" i="7"/>
  <c r="F316" i="7"/>
  <c r="G316" i="7"/>
  <c r="H316" i="7"/>
  <c r="I316" i="7"/>
  <c r="J316" i="7"/>
  <c r="K316" i="7"/>
  <c r="B319" i="7"/>
  <c r="C319" i="7"/>
  <c r="D319" i="7"/>
  <c r="E319" i="7"/>
  <c r="F319" i="7"/>
  <c r="G319" i="7"/>
  <c r="H319" i="7"/>
  <c r="I319" i="7"/>
  <c r="J319" i="7"/>
  <c r="K319" i="7"/>
  <c r="B320" i="7"/>
  <c r="C320" i="7"/>
  <c r="D320" i="7"/>
  <c r="E320" i="7"/>
  <c r="F320" i="7"/>
  <c r="G320" i="7"/>
  <c r="H320" i="7"/>
  <c r="I320" i="7"/>
  <c r="J320" i="7"/>
  <c r="K320" i="7"/>
  <c r="B321" i="7"/>
  <c r="C321" i="7"/>
  <c r="D321" i="7"/>
  <c r="E321" i="7"/>
  <c r="F321" i="7"/>
  <c r="G321" i="7"/>
  <c r="H321" i="7"/>
  <c r="I321" i="7"/>
  <c r="J321" i="7"/>
  <c r="K321" i="7"/>
  <c r="B334" i="7"/>
  <c r="C334" i="7"/>
  <c r="D334" i="7"/>
  <c r="E334" i="7"/>
  <c r="F334" i="7"/>
  <c r="G334" i="7"/>
  <c r="H334" i="7"/>
  <c r="I334" i="7"/>
  <c r="J334" i="7"/>
  <c r="K334" i="7"/>
  <c r="B335" i="7"/>
  <c r="C335" i="7"/>
  <c r="D335" i="7"/>
  <c r="E335" i="7"/>
  <c r="F335" i="7"/>
  <c r="G335" i="7"/>
  <c r="H335" i="7"/>
  <c r="I335" i="7"/>
  <c r="J335" i="7"/>
  <c r="K335" i="7"/>
  <c r="B336" i="7"/>
  <c r="C336" i="7"/>
  <c r="D336" i="7"/>
  <c r="E336" i="7"/>
  <c r="F336" i="7"/>
  <c r="G336" i="7"/>
  <c r="H336" i="7"/>
  <c r="I336" i="7"/>
  <c r="J336" i="7"/>
  <c r="K336" i="7"/>
  <c r="B337" i="7"/>
  <c r="C337" i="7"/>
  <c r="D337" i="7"/>
  <c r="E337" i="7"/>
  <c r="F337" i="7"/>
  <c r="G337" i="7"/>
  <c r="H337" i="7"/>
  <c r="I337" i="7"/>
  <c r="J337" i="7"/>
  <c r="K337" i="7"/>
  <c r="B339" i="7"/>
  <c r="C339" i="7"/>
  <c r="D339" i="7"/>
  <c r="E339" i="7"/>
  <c r="F339" i="7"/>
  <c r="G339" i="7"/>
  <c r="H339" i="7"/>
  <c r="I339" i="7"/>
  <c r="J339" i="7"/>
  <c r="K339" i="7"/>
  <c r="B340" i="7"/>
  <c r="C340" i="7"/>
  <c r="D340" i="7"/>
  <c r="E340" i="7"/>
  <c r="F340" i="7"/>
  <c r="G340" i="7"/>
  <c r="H340" i="7"/>
  <c r="I340" i="7"/>
  <c r="J340" i="7"/>
  <c r="K340" i="7"/>
  <c r="B341" i="7"/>
  <c r="C341" i="7"/>
  <c r="D341" i="7"/>
  <c r="E341" i="7"/>
  <c r="F341" i="7"/>
  <c r="G341" i="7"/>
  <c r="H341" i="7"/>
  <c r="I341" i="7"/>
  <c r="J341" i="7"/>
  <c r="K341" i="7"/>
  <c r="B348" i="7"/>
  <c r="C348" i="7"/>
  <c r="D348" i="7"/>
  <c r="E348" i="7"/>
  <c r="F348" i="7"/>
  <c r="G348" i="7"/>
  <c r="H348" i="7"/>
  <c r="I348" i="7"/>
  <c r="J348" i="7"/>
  <c r="K348" i="7"/>
  <c r="B349" i="7"/>
  <c r="C349" i="7"/>
  <c r="D349" i="7"/>
  <c r="E349" i="7"/>
  <c r="F349" i="7"/>
  <c r="G349" i="7"/>
  <c r="H349" i="7"/>
  <c r="I349" i="7"/>
  <c r="J349" i="7"/>
  <c r="K349" i="7"/>
  <c r="B350" i="7"/>
  <c r="C350" i="7"/>
  <c r="D350" i="7"/>
  <c r="E350" i="7"/>
  <c r="F350" i="7"/>
  <c r="G350" i="7"/>
  <c r="H350" i="7"/>
  <c r="I350" i="7"/>
  <c r="J350" i="7"/>
  <c r="K350" i="7"/>
  <c r="B357" i="7"/>
  <c r="C357" i="7"/>
  <c r="D357" i="7"/>
  <c r="E357" i="7"/>
  <c r="F357" i="7"/>
  <c r="G357" i="7"/>
  <c r="H357" i="7"/>
  <c r="I357" i="7"/>
  <c r="J357" i="7"/>
  <c r="K357" i="7"/>
  <c r="B358" i="7"/>
  <c r="C358" i="7"/>
  <c r="D358" i="7"/>
  <c r="E358" i="7"/>
  <c r="F358" i="7"/>
  <c r="G358" i="7"/>
  <c r="H358" i="7"/>
  <c r="I358" i="7"/>
  <c r="J358" i="7"/>
  <c r="K358" i="7"/>
  <c r="B359" i="7"/>
  <c r="C359" i="7"/>
  <c r="D359" i="7"/>
  <c r="E359" i="7"/>
  <c r="F359" i="7"/>
  <c r="G359" i="7"/>
  <c r="H359" i="7"/>
  <c r="I359" i="7"/>
  <c r="J359" i="7"/>
  <c r="K359" i="7"/>
  <c r="B58" i="7"/>
  <c r="C58" i="7"/>
  <c r="D58" i="7"/>
  <c r="E58" i="7"/>
  <c r="F58" i="7"/>
  <c r="G58" i="7"/>
  <c r="H58" i="7"/>
  <c r="I58" i="7"/>
  <c r="J58" i="7"/>
  <c r="K58" i="7"/>
  <c r="B59" i="7"/>
  <c r="C59" i="7"/>
  <c r="D59" i="7"/>
  <c r="E59" i="7"/>
  <c r="F59" i="7"/>
  <c r="G59" i="7"/>
  <c r="H59" i="7"/>
  <c r="I59" i="7"/>
  <c r="J59" i="7"/>
  <c r="K59" i="7"/>
  <c r="B60" i="7"/>
  <c r="C60" i="7"/>
  <c r="D60" i="7"/>
  <c r="E60" i="7"/>
  <c r="F60" i="7"/>
  <c r="G60" i="7"/>
  <c r="H60" i="7"/>
  <c r="I60" i="7"/>
  <c r="J60" i="7"/>
  <c r="K60" i="7"/>
  <c r="J396" i="26"/>
  <c r="I396" i="26"/>
  <c r="H396" i="26"/>
  <c r="A396" i="26" s="1"/>
  <c r="G396" i="26"/>
  <c r="F396" i="26"/>
  <c r="E396" i="26"/>
  <c r="D396" i="26"/>
  <c r="C396" i="26"/>
  <c r="J395" i="26"/>
  <c r="I395" i="26"/>
  <c r="H395" i="26"/>
  <c r="A395" i="26" s="1"/>
  <c r="G395" i="26"/>
  <c r="F395" i="26"/>
  <c r="E395" i="26"/>
  <c r="D395" i="26"/>
  <c r="C395" i="26"/>
  <c r="J394" i="26"/>
  <c r="I394" i="26"/>
  <c r="H394" i="26"/>
  <c r="A394" i="26" s="1"/>
  <c r="G394" i="26"/>
  <c r="F394" i="26"/>
  <c r="E394" i="26"/>
  <c r="D394" i="26"/>
  <c r="C394" i="26"/>
  <c r="J393" i="26"/>
  <c r="I393" i="26"/>
  <c r="H393" i="26"/>
  <c r="A393" i="26" s="1"/>
  <c r="G393" i="26"/>
  <c r="F393" i="26"/>
  <c r="E393" i="26"/>
  <c r="D393" i="26"/>
  <c r="C393" i="26"/>
  <c r="J392" i="26"/>
  <c r="I392" i="26"/>
  <c r="H392" i="26"/>
  <c r="A392" i="26" s="1"/>
  <c r="G392" i="26"/>
  <c r="F392" i="26"/>
  <c r="E392" i="26"/>
  <c r="D392" i="26"/>
  <c r="C392" i="26"/>
  <c r="J391" i="26"/>
  <c r="I391" i="26"/>
  <c r="H391" i="26"/>
  <c r="A391" i="26" s="1"/>
  <c r="G391" i="26"/>
  <c r="F391" i="26"/>
  <c r="E391" i="26"/>
  <c r="D391" i="26"/>
  <c r="C391" i="26"/>
  <c r="J390" i="26"/>
  <c r="I390" i="26"/>
  <c r="H390" i="26"/>
  <c r="A390" i="26" s="1"/>
  <c r="G390" i="26"/>
  <c r="F390" i="26"/>
  <c r="E390" i="26"/>
  <c r="D390" i="26"/>
  <c r="C390" i="26"/>
  <c r="J389" i="26"/>
  <c r="I389" i="26"/>
  <c r="H389" i="26"/>
  <c r="A389" i="26" s="1"/>
  <c r="G389" i="26"/>
  <c r="F389" i="26"/>
  <c r="E389" i="26"/>
  <c r="D389" i="26"/>
  <c r="C389" i="26"/>
  <c r="J388" i="26"/>
  <c r="I388" i="26"/>
  <c r="H388" i="26"/>
  <c r="A388" i="26" s="1"/>
  <c r="G388" i="26"/>
  <c r="F388" i="26"/>
  <c r="E388" i="26"/>
  <c r="D388" i="26"/>
  <c r="C388" i="26"/>
  <c r="J387" i="26"/>
  <c r="I387" i="26"/>
  <c r="H387" i="26"/>
  <c r="A387" i="26" s="1"/>
  <c r="G387" i="26"/>
  <c r="F387" i="26"/>
  <c r="E387" i="26"/>
  <c r="D387" i="26"/>
  <c r="C387" i="26"/>
  <c r="J386" i="26"/>
  <c r="I386" i="26"/>
  <c r="H386" i="26"/>
  <c r="A386" i="26" s="1"/>
  <c r="G386" i="26"/>
  <c r="F386" i="26"/>
  <c r="E386" i="26"/>
  <c r="D386" i="26"/>
  <c r="C386" i="26"/>
  <c r="J385" i="26"/>
  <c r="I385" i="26"/>
  <c r="H385" i="26"/>
  <c r="A385" i="26" s="1"/>
  <c r="G385" i="26"/>
  <c r="F385" i="26"/>
  <c r="E385" i="26"/>
  <c r="D385" i="26"/>
  <c r="C385" i="26"/>
  <c r="J384" i="26"/>
  <c r="I384" i="26"/>
  <c r="H384" i="26"/>
  <c r="A384" i="26" s="1"/>
  <c r="G384" i="26"/>
  <c r="F384" i="26"/>
  <c r="E384" i="26"/>
  <c r="D384" i="26"/>
  <c r="C384" i="26"/>
  <c r="J383" i="26"/>
  <c r="I383" i="26"/>
  <c r="H383" i="26"/>
  <c r="A383" i="26" s="1"/>
  <c r="G383" i="26"/>
  <c r="F383" i="26"/>
  <c r="E383" i="26"/>
  <c r="D383" i="26"/>
  <c r="C383" i="26"/>
  <c r="J382" i="26"/>
  <c r="I382" i="26"/>
  <c r="H382" i="26"/>
  <c r="A382" i="26" s="1"/>
  <c r="G382" i="26"/>
  <c r="F382" i="26"/>
  <c r="E382" i="26"/>
  <c r="D382" i="26"/>
  <c r="C382" i="26"/>
  <c r="J381" i="26"/>
  <c r="I381" i="26"/>
  <c r="H381" i="26"/>
  <c r="A381" i="26" s="1"/>
  <c r="G381" i="26"/>
  <c r="F381" i="26"/>
  <c r="E381" i="26"/>
  <c r="D381" i="26"/>
  <c r="C381" i="26"/>
  <c r="J380" i="26"/>
  <c r="I380" i="26"/>
  <c r="H380" i="26"/>
  <c r="A380" i="26" s="1"/>
  <c r="G380" i="26"/>
  <c r="F380" i="26"/>
  <c r="E380" i="26"/>
  <c r="D380" i="26"/>
  <c r="C380" i="26"/>
  <c r="J379" i="26"/>
  <c r="I379" i="26"/>
  <c r="H379" i="26"/>
  <c r="A379" i="26" s="1"/>
  <c r="G379" i="26"/>
  <c r="F379" i="26"/>
  <c r="E379" i="26"/>
  <c r="D379" i="26"/>
  <c r="C379" i="26"/>
  <c r="J378" i="26"/>
  <c r="I378" i="26"/>
  <c r="H378" i="26"/>
  <c r="A378" i="26" s="1"/>
  <c r="G378" i="26"/>
  <c r="F378" i="26"/>
  <c r="E378" i="26"/>
  <c r="D378" i="26"/>
  <c r="C378" i="26"/>
  <c r="J377" i="26"/>
  <c r="I377" i="26"/>
  <c r="H377" i="26"/>
  <c r="A377" i="26" s="1"/>
  <c r="G377" i="26"/>
  <c r="F377" i="26"/>
  <c r="E377" i="26"/>
  <c r="D377" i="26"/>
  <c r="C377" i="26"/>
  <c r="J376" i="26"/>
  <c r="I376" i="26"/>
  <c r="H376" i="26"/>
  <c r="A376" i="26" s="1"/>
  <c r="G376" i="26"/>
  <c r="F376" i="26"/>
  <c r="E376" i="26"/>
  <c r="D376" i="26"/>
  <c r="C376" i="26"/>
  <c r="J375" i="26"/>
  <c r="I375" i="26"/>
  <c r="H375" i="26"/>
  <c r="A375" i="26" s="1"/>
  <c r="G375" i="26"/>
  <c r="F375" i="26"/>
  <c r="E375" i="26"/>
  <c r="D375" i="26"/>
  <c r="C375" i="26"/>
  <c r="K374" i="26"/>
  <c r="J374" i="26"/>
  <c r="I374" i="26"/>
  <c r="H374" i="26"/>
  <c r="A374" i="26" s="1"/>
  <c r="G374" i="26"/>
  <c r="F374" i="26"/>
  <c r="E374" i="26"/>
  <c r="D374" i="26"/>
  <c r="C374" i="26"/>
  <c r="J370" i="26"/>
  <c r="I370" i="26"/>
  <c r="H370" i="26"/>
  <c r="A370" i="26" s="1"/>
  <c r="G370" i="26"/>
  <c r="F370" i="26"/>
  <c r="E370" i="26"/>
  <c r="D370" i="26"/>
  <c r="C370" i="26"/>
  <c r="J369" i="26"/>
  <c r="I369" i="26"/>
  <c r="H369" i="26"/>
  <c r="A369" i="26" s="1"/>
  <c r="G369" i="26"/>
  <c r="F369" i="26"/>
  <c r="E369" i="26"/>
  <c r="D369" i="26"/>
  <c r="C369" i="26"/>
  <c r="J368" i="26"/>
  <c r="I368" i="26"/>
  <c r="H368" i="26"/>
  <c r="A368" i="26" s="1"/>
  <c r="G368" i="26"/>
  <c r="F368" i="26"/>
  <c r="E368" i="26"/>
  <c r="D368" i="26"/>
  <c r="C368" i="26"/>
  <c r="J367" i="26"/>
  <c r="I367" i="26"/>
  <c r="H367" i="26"/>
  <c r="A367" i="26" s="1"/>
  <c r="G367" i="26"/>
  <c r="F367" i="26"/>
  <c r="E367" i="26"/>
  <c r="D367" i="26"/>
  <c r="C367" i="26"/>
  <c r="J366" i="26"/>
  <c r="I366" i="26"/>
  <c r="H366" i="26"/>
  <c r="A366" i="26" s="1"/>
  <c r="G366" i="26"/>
  <c r="F366" i="26"/>
  <c r="E366" i="26"/>
  <c r="D366" i="26"/>
  <c r="C366" i="26"/>
  <c r="J365" i="26"/>
  <c r="I365" i="26"/>
  <c r="H365" i="26"/>
  <c r="A365" i="26" s="1"/>
  <c r="G365" i="26"/>
  <c r="F365" i="26"/>
  <c r="E365" i="26"/>
  <c r="D365" i="26"/>
  <c r="C365" i="26"/>
  <c r="J364" i="26"/>
  <c r="I364" i="26"/>
  <c r="H364" i="26"/>
  <c r="A364" i="26" s="1"/>
  <c r="G364" i="26"/>
  <c r="F364" i="26"/>
  <c r="E364" i="26"/>
  <c r="D364" i="26"/>
  <c r="C364" i="26"/>
  <c r="K363" i="26"/>
  <c r="J363" i="26"/>
  <c r="I363" i="26"/>
  <c r="H363" i="26"/>
  <c r="A363" i="26" s="1"/>
  <c r="G363" i="26"/>
  <c r="F363" i="26"/>
  <c r="E363" i="26"/>
  <c r="D363" i="26"/>
  <c r="C363" i="26"/>
  <c r="K360" i="26"/>
  <c r="J360" i="26"/>
  <c r="I360" i="26"/>
  <c r="H360" i="26"/>
  <c r="A360" i="26" s="1"/>
  <c r="G360" i="26"/>
  <c r="F360" i="26"/>
  <c r="E360" i="26"/>
  <c r="D360" i="26"/>
  <c r="C360" i="26"/>
  <c r="K359" i="26"/>
  <c r="J359" i="26"/>
  <c r="I359" i="26"/>
  <c r="H359" i="26"/>
  <c r="A359" i="26" s="1"/>
  <c r="G359" i="26"/>
  <c r="F359" i="26"/>
  <c r="E359" i="26"/>
  <c r="D359" i="26"/>
  <c r="C359" i="26"/>
  <c r="J355" i="26"/>
  <c r="I355" i="26"/>
  <c r="H355" i="26"/>
  <c r="A355" i="26" s="1"/>
  <c r="G355" i="26"/>
  <c r="F355" i="26"/>
  <c r="E355" i="26"/>
  <c r="D355" i="26"/>
  <c r="C355" i="26"/>
  <c r="K354" i="26"/>
  <c r="J354" i="26"/>
  <c r="I354" i="26"/>
  <c r="H354" i="26"/>
  <c r="A354" i="26" s="1"/>
  <c r="G354" i="26"/>
  <c r="F354" i="26"/>
  <c r="E354" i="26"/>
  <c r="D354" i="26"/>
  <c r="C354" i="26"/>
  <c r="J347" i="26"/>
  <c r="I347" i="26"/>
  <c r="H347" i="26"/>
  <c r="A347" i="26" s="1"/>
  <c r="G347" i="26"/>
  <c r="F347" i="26"/>
  <c r="E347" i="26"/>
  <c r="D347" i="26"/>
  <c r="C347" i="26"/>
  <c r="J346" i="26"/>
  <c r="I346" i="26"/>
  <c r="H346" i="26"/>
  <c r="A346" i="26" s="1"/>
  <c r="G346" i="26"/>
  <c r="F346" i="26"/>
  <c r="E346" i="26"/>
  <c r="D346" i="26"/>
  <c r="C346" i="26"/>
  <c r="J345" i="26"/>
  <c r="I345" i="26"/>
  <c r="H345" i="26"/>
  <c r="A345" i="26" s="1"/>
  <c r="G345" i="26"/>
  <c r="F345" i="26"/>
  <c r="E345" i="26"/>
  <c r="D345" i="26"/>
  <c r="C345" i="26"/>
  <c r="J344" i="26"/>
  <c r="I344" i="26"/>
  <c r="H344" i="26"/>
  <c r="A344" i="26" s="1"/>
  <c r="G344" i="26"/>
  <c r="F344" i="26"/>
  <c r="E344" i="26"/>
  <c r="D344" i="26"/>
  <c r="C344" i="26"/>
  <c r="J343" i="26"/>
  <c r="I343" i="26"/>
  <c r="H343" i="26"/>
  <c r="A343" i="26" s="1"/>
  <c r="G343" i="26"/>
  <c r="F343" i="26"/>
  <c r="E343" i="26"/>
  <c r="D343" i="26"/>
  <c r="C343" i="26"/>
  <c r="K342" i="26"/>
  <c r="J342" i="26"/>
  <c r="I342" i="26"/>
  <c r="H342" i="26"/>
  <c r="G342" i="26"/>
  <c r="F342" i="26"/>
  <c r="E342" i="26"/>
  <c r="D342" i="26"/>
  <c r="C342" i="26"/>
  <c r="K338" i="26"/>
  <c r="J338" i="26"/>
  <c r="I338" i="26"/>
  <c r="H338" i="26"/>
  <c r="A338" i="26" s="1"/>
  <c r="G338" i="26"/>
  <c r="F338" i="26"/>
  <c r="E338" i="26"/>
  <c r="D338" i="26"/>
  <c r="C338" i="26"/>
  <c r="K337" i="26"/>
  <c r="J337" i="26"/>
  <c r="I337" i="26"/>
  <c r="H337" i="26"/>
  <c r="A337" i="26" s="1"/>
  <c r="G337" i="26"/>
  <c r="F337" i="26"/>
  <c r="E337" i="26"/>
  <c r="D337" i="26"/>
  <c r="C337" i="26"/>
  <c r="K333" i="26"/>
  <c r="J333" i="26"/>
  <c r="I333" i="26"/>
  <c r="H333" i="26"/>
  <c r="A333" i="26" s="1"/>
  <c r="G333" i="26"/>
  <c r="F333" i="26"/>
  <c r="E333" i="26"/>
  <c r="D333" i="26"/>
  <c r="C333" i="26"/>
  <c r="K332" i="26"/>
  <c r="J332" i="26"/>
  <c r="I332" i="26"/>
  <c r="H332" i="26"/>
  <c r="A332" i="26" s="1"/>
  <c r="G332" i="26"/>
  <c r="F332" i="26"/>
  <c r="E332" i="26"/>
  <c r="D332" i="26"/>
  <c r="C332" i="26"/>
  <c r="K331" i="26"/>
  <c r="J331" i="26"/>
  <c r="I331" i="26"/>
  <c r="H331" i="26"/>
  <c r="A331" i="26" s="1"/>
  <c r="G331" i="26"/>
  <c r="F331" i="26"/>
  <c r="E331" i="26"/>
  <c r="D331" i="26"/>
  <c r="C331" i="26"/>
  <c r="K330" i="26"/>
  <c r="J330" i="26"/>
  <c r="I330" i="26"/>
  <c r="H330" i="26"/>
  <c r="A330" i="26" s="1"/>
  <c r="G330" i="26"/>
  <c r="F330" i="26"/>
  <c r="E330" i="26"/>
  <c r="D330" i="26"/>
  <c r="C330" i="26"/>
  <c r="K329" i="26"/>
  <c r="J329" i="26"/>
  <c r="I329" i="26"/>
  <c r="H329" i="26"/>
  <c r="A329" i="26" s="1"/>
  <c r="G329" i="26"/>
  <c r="F329" i="26"/>
  <c r="E329" i="26"/>
  <c r="D329" i="26"/>
  <c r="C329" i="26"/>
  <c r="K328" i="26"/>
  <c r="J328" i="26"/>
  <c r="I328" i="26"/>
  <c r="H328" i="26"/>
  <c r="A328" i="26" s="1"/>
  <c r="G328" i="26"/>
  <c r="F328" i="26"/>
  <c r="E328" i="26"/>
  <c r="D328" i="26"/>
  <c r="C328" i="26"/>
  <c r="K327" i="26"/>
  <c r="J327" i="26"/>
  <c r="I327" i="26"/>
  <c r="H327" i="26"/>
  <c r="A327" i="26" s="1"/>
  <c r="G327" i="26"/>
  <c r="F327" i="26"/>
  <c r="E327" i="26"/>
  <c r="D327" i="26"/>
  <c r="C327" i="26"/>
  <c r="K326" i="26"/>
  <c r="J326" i="26"/>
  <c r="I326" i="26"/>
  <c r="H326" i="26"/>
  <c r="A326" i="26" s="1"/>
  <c r="G326" i="26"/>
  <c r="F326" i="26"/>
  <c r="E326" i="26"/>
  <c r="D326" i="26"/>
  <c r="C326" i="26"/>
  <c r="K325" i="26"/>
  <c r="J325" i="26"/>
  <c r="I325" i="26"/>
  <c r="H325" i="26"/>
  <c r="A325" i="26" s="1"/>
  <c r="G325" i="26"/>
  <c r="F325" i="26"/>
  <c r="E325" i="26"/>
  <c r="D325" i="26"/>
  <c r="C325" i="26"/>
  <c r="K324" i="26"/>
  <c r="J324" i="26"/>
  <c r="I324" i="26"/>
  <c r="H324" i="26"/>
  <c r="A324" i="26" s="1"/>
  <c r="G324" i="26"/>
  <c r="F324" i="26"/>
  <c r="E324" i="26"/>
  <c r="D324" i="26"/>
  <c r="C324" i="26"/>
  <c r="K323" i="26"/>
  <c r="J323" i="26"/>
  <c r="I323" i="26"/>
  <c r="H323" i="26"/>
  <c r="A323" i="26" s="1"/>
  <c r="G323" i="26"/>
  <c r="F323" i="26"/>
  <c r="E323" i="26"/>
  <c r="D323" i="26"/>
  <c r="C323" i="26"/>
  <c r="K322" i="26"/>
  <c r="J322" i="26"/>
  <c r="I322" i="26"/>
  <c r="H322" i="26"/>
  <c r="A322" i="26" s="1"/>
  <c r="G322" i="26"/>
  <c r="F322" i="26"/>
  <c r="E322" i="26"/>
  <c r="D322" i="26"/>
  <c r="C322" i="26"/>
  <c r="K318" i="26"/>
  <c r="J318" i="26"/>
  <c r="I318" i="26"/>
  <c r="H318" i="26"/>
  <c r="A318" i="26" s="1"/>
  <c r="G318" i="26"/>
  <c r="F318" i="26"/>
  <c r="E318" i="26"/>
  <c r="D318" i="26"/>
  <c r="C318" i="26"/>
  <c r="K317" i="26"/>
  <c r="J317" i="26"/>
  <c r="I317" i="26"/>
  <c r="H317" i="26"/>
  <c r="A317" i="26" s="1"/>
  <c r="G317" i="26"/>
  <c r="F317" i="26"/>
  <c r="E317" i="26"/>
  <c r="D317" i="26"/>
  <c r="C317" i="26"/>
  <c r="K313" i="26"/>
  <c r="J313" i="26"/>
  <c r="I313" i="26"/>
  <c r="H313" i="26"/>
  <c r="A313" i="26" s="1"/>
  <c r="G313" i="26"/>
  <c r="F313" i="26"/>
  <c r="E313" i="26"/>
  <c r="D313" i="26"/>
  <c r="C313" i="26"/>
  <c r="K312" i="26"/>
  <c r="J312" i="26"/>
  <c r="I312" i="26"/>
  <c r="H312" i="26"/>
  <c r="A312" i="26" s="1"/>
  <c r="G312" i="26"/>
  <c r="F312" i="26"/>
  <c r="E312" i="26"/>
  <c r="D312" i="26"/>
  <c r="C312" i="26"/>
  <c r="K311" i="26"/>
  <c r="J311" i="26"/>
  <c r="I311" i="26"/>
  <c r="H311" i="26"/>
  <c r="A311" i="26" s="1"/>
  <c r="G311" i="26"/>
  <c r="F311" i="26"/>
  <c r="E311" i="26"/>
  <c r="D311" i="26"/>
  <c r="C311" i="26"/>
  <c r="K310" i="26"/>
  <c r="J310" i="26"/>
  <c r="I310" i="26"/>
  <c r="H310" i="26"/>
  <c r="A310" i="26" s="1"/>
  <c r="G310" i="26"/>
  <c r="F310" i="26"/>
  <c r="E310" i="26"/>
  <c r="D310" i="26"/>
  <c r="C310" i="26"/>
  <c r="K309" i="26"/>
  <c r="J309" i="26"/>
  <c r="I309" i="26"/>
  <c r="H309" i="26"/>
  <c r="A309" i="26" s="1"/>
  <c r="G309" i="26"/>
  <c r="F309" i="26"/>
  <c r="E309" i="26"/>
  <c r="D309" i="26"/>
  <c r="C309" i="26"/>
  <c r="K308" i="26"/>
  <c r="J308" i="26"/>
  <c r="I308" i="26"/>
  <c r="H308" i="26"/>
  <c r="A308" i="26" s="1"/>
  <c r="G308" i="26"/>
  <c r="F308" i="26"/>
  <c r="E308" i="26"/>
  <c r="D308" i="26"/>
  <c r="C308" i="26"/>
  <c r="K307" i="26"/>
  <c r="J307" i="26"/>
  <c r="I307" i="26"/>
  <c r="H307" i="26"/>
  <c r="A307" i="26" s="1"/>
  <c r="G307" i="26"/>
  <c r="F307" i="26"/>
  <c r="E307" i="26"/>
  <c r="D307" i="26"/>
  <c r="C307" i="26"/>
  <c r="K303" i="26"/>
  <c r="J303" i="26"/>
  <c r="I303" i="26"/>
  <c r="H303" i="26"/>
  <c r="A303" i="26" s="1"/>
  <c r="G303" i="26"/>
  <c r="F303" i="26"/>
  <c r="E303" i="26"/>
  <c r="D303" i="26"/>
  <c r="C303" i="26"/>
  <c r="K302" i="26"/>
  <c r="J302" i="26"/>
  <c r="I302" i="26"/>
  <c r="H302" i="26"/>
  <c r="A302" i="26" s="1"/>
  <c r="G302" i="26"/>
  <c r="F302" i="26"/>
  <c r="E302" i="26"/>
  <c r="D302" i="26"/>
  <c r="C302" i="26"/>
  <c r="K301" i="26"/>
  <c r="J301" i="26"/>
  <c r="I301" i="26"/>
  <c r="H301" i="26"/>
  <c r="A301" i="26" s="1"/>
  <c r="G301" i="26"/>
  <c r="F301" i="26"/>
  <c r="E301" i="26"/>
  <c r="D301" i="26"/>
  <c r="C301" i="26"/>
  <c r="K300" i="26"/>
  <c r="J300" i="26"/>
  <c r="I300" i="26"/>
  <c r="H300" i="26"/>
  <c r="A300" i="26" s="1"/>
  <c r="G300" i="26"/>
  <c r="F300" i="26"/>
  <c r="E300" i="26"/>
  <c r="D300" i="26"/>
  <c r="C300" i="26"/>
  <c r="K299" i="26"/>
  <c r="J299" i="26"/>
  <c r="I299" i="26"/>
  <c r="H299" i="26"/>
  <c r="A299" i="26" s="1"/>
  <c r="G299" i="26"/>
  <c r="F299" i="26"/>
  <c r="E299" i="26"/>
  <c r="D299" i="26"/>
  <c r="C299" i="26"/>
  <c r="K298" i="26"/>
  <c r="J298" i="26"/>
  <c r="I298" i="26"/>
  <c r="H298" i="26"/>
  <c r="A298" i="26" s="1"/>
  <c r="G298" i="26"/>
  <c r="F298" i="26"/>
  <c r="E298" i="26"/>
  <c r="D298" i="26"/>
  <c r="C298" i="26"/>
  <c r="K297" i="26"/>
  <c r="J297" i="26"/>
  <c r="I297" i="26"/>
  <c r="H297" i="26"/>
  <c r="A297" i="26" s="1"/>
  <c r="G297" i="26"/>
  <c r="F297" i="26"/>
  <c r="E297" i="26"/>
  <c r="D297" i="26"/>
  <c r="C297" i="26"/>
  <c r="K296" i="26"/>
  <c r="J296" i="26"/>
  <c r="I296" i="26"/>
  <c r="H296" i="26"/>
  <c r="A296" i="26" s="1"/>
  <c r="G296" i="26"/>
  <c r="F296" i="26"/>
  <c r="E296" i="26"/>
  <c r="D296" i="26"/>
  <c r="C296" i="26"/>
  <c r="K295" i="26"/>
  <c r="J295" i="26"/>
  <c r="I295" i="26"/>
  <c r="H295" i="26"/>
  <c r="A295" i="26" s="1"/>
  <c r="G295" i="26"/>
  <c r="F295" i="26"/>
  <c r="E295" i="26"/>
  <c r="D295" i="26"/>
  <c r="C295" i="26"/>
  <c r="K294" i="26"/>
  <c r="J294" i="26"/>
  <c r="I294" i="26"/>
  <c r="H294" i="26"/>
  <c r="A294" i="26" s="1"/>
  <c r="G294" i="26"/>
  <c r="F294" i="26"/>
  <c r="E294" i="26"/>
  <c r="D294" i="26"/>
  <c r="C294" i="26"/>
  <c r="K293" i="26"/>
  <c r="J293" i="26"/>
  <c r="I293" i="26"/>
  <c r="H293" i="26"/>
  <c r="A293" i="26" s="1"/>
  <c r="G293" i="26"/>
  <c r="F293" i="26"/>
  <c r="E293" i="26"/>
  <c r="D293" i="26"/>
  <c r="C293" i="26"/>
  <c r="K292" i="26"/>
  <c r="J292" i="26"/>
  <c r="I292" i="26"/>
  <c r="H292" i="26"/>
  <c r="A292" i="26" s="1"/>
  <c r="G292" i="26"/>
  <c r="F292" i="26"/>
  <c r="E292" i="26"/>
  <c r="D292" i="26"/>
  <c r="C292" i="26"/>
  <c r="K291" i="26"/>
  <c r="J291" i="26"/>
  <c r="I291" i="26"/>
  <c r="H291" i="26"/>
  <c r="A291" i="26" s="1"/>
  <c r="G291" i="26"/>
  <c r="F291" i="26"/>
  <c r="E291" i="26"/>
  <c r="D291" i="26"/>
  <c r="C291" i="26"/>
  <c r="K290" i="26"/>
  <c r="J290" i="26"/>
  <c r="I290" i="26"/>
  <c r="H290" i="26"/>
  <c r="A290" i="26" s="1"/>
  <c r="G290" i="26"/>
  <c r="F290" i="26"/>
  <c r="E290" i="26"/>
  <c r="D290" i="26"/>
  <c r="C290" i="26"/>
  <c r="K289" i="26"/>
  <c r="J289" i="26"/>
  <c r="I289" i="26"/>
  <c r="H289" i="26"/>
  <c r="A289" i="26" s="1"/>
  <c r="G289" i="26"/>
  <c r="F289" i="26"/>
  <c r="E289" i="26"/>
  <c r="D289" i="26"/>
  <c r="C289" i="26"/>
  <c r="K288" i="26"/>
  <c r="J288" i="26"/>
  <c r="I288" i="26"/>
  <c r="H288" i="26"/>
  <c r="A288" i="26" s="1"/>
  <c r="G288" i="26"/>
  <c r="F288" i="26"/>
  <c r="E288" i="26"/>
  <c r="D288" i="26"/>
  <c r="C288" i="26"/>
  <c r="K287" i="26"/>
  <c r="J287" i="26"/>
  <c r="I287" i="26"/>
  <c r="H287" i="26"/>
  <c r="A287" i="26" s="1"/>
  <c r="G287" i="26"/>
  <c r="F287" i="26"/>
  <c r="E287" i="26"/>
  <c r="D287" i="26"/>
  <c r="C287" i="26"/>
  <c r="K286" i="26"/>
  <c r="J286" i="26"/>
  <c r="I286" i="26"/>
  <c r="H286" i="26"/>
  <c r="A286" i="26" s="1"/>
  <c r="G286" i="26"/>
  <c r="F286" i="26"/>
  <c r="E286" i="26"/>
  <c r="D286" i="26"/>
  <c r="C286" i="26"/>
  <c r="K285" i="26"/>
  <c r="J285" i="26"/>
  <c r="I285" i="26"/>
  <c r="H285" i="26"/>
  <c r="A285" i="26" s="1"/>
  <c r="G285" i="26"/>
  <c r="F285" i="26"/>
  <c r="E285" i="26"/>
  <c r="D285" i="26"/>
  <c r="C285" i="26"/>
  <c r="K284" i="26"/>
  <c r="J284" i="26"/>
  <c r="I284" i="26"/>
  <c r="H284" i="26"/>
  <c r="A284" i="26" s="1"/>
  <c r="G284" i="26"/>
  <c r="F284" i="26"/>
  <c r="E284" i="26"/>
  <c r="D284" i="26"/>
  <c r="C284" i="26"/>
  <c r="K283" i="26"/>
  <c r="J283" i="26"/>
  <c r="I283" i="26"/>
  <c r="H283" i="26"/>
  <c r="A283" i="26" s="1"/>
  <c r="G283" i="26"/>
  <c r="F283" i="26"/>
  <c r="E283" i="26"/>
  <c r="D283" i="26"/>
  <c r="C283" i="26"/>
  <c r="K282" i="26"/>
  <c r="J282" i="26"/>
  <c r="I282" i="26"/>
  <c r="H282" i="26"/>
  <c r="A282" i="26" s="1"/>
  <c r="G282" i="26"/>
  <c r="F282" i="26"/>
  <c r="E282" i="26"/>
  <c r="D282" i="26"/>
  <c r="C282" i="26"/>
  <c r="K281" i="26"/>
  <c r="J281" i="26"/>
  <c r="I281" i="26"/>
  <c r="H281" i="26"/>
  <c r="A281" i="26" s="1"/>
  <c r="G281" i="26"/>
  <c r="F281" i="26"/>
  <c r="E281" i="26"/>
  <c r="D281" i="26"/>
  <c r="C281" i="26"/>
  <c r="K280" i="26"/>
  <c r="J280" i="26"/>
  <c r="I280" i="26"/>
  <c r="H280" i="26"/>
  <c r="A280" i="26" s="1"/>
  <c r="G280" i="26"/>
  <c r="F280" i="26"/>
  <c r="E280" i="26"/>
  <c r="D280" i="26"/>
  <c r="C280" i="26"/>
  <c r="K279" i="26"/>
  <c r="J279" i="26"/>
  <c r="I279" i="26"/>
  <c r="H279" i="26"/>
  <c r="A279" i="26" s="1"/>
  <c r="G279" i="26"/>
  <c r="F279" i="26"/>
  <c r="E279" i="26"/>
  <c r="D279" i="26"/>
  <c r="C279" i="26"/>
  <c r="K278" i="26"/>
  <c r="J278" i="26"/>
  <c r="I278" i="26"/>
  <c r="H278" i="26"/>
  <c r="A278" i="26" s="1"/>
  <c r="G278" i="26"/>
  <c r="F278" i="26"/>
  <c r="E278" i="26"/>
  <c r="D278" i="26"/>
  <c r="C278" i="26"/>
  <c r="K277" i="26"/>
  <c r="J277" i="26"/>
  <c r="I277" i="26"/>
  <c r="H277" i="26"/>
  <c r="A277" i="26" s="1"/>
  <c r="G277" i="26"/>
  <c r="F277" i="26"/>
  <c r="E277" i="26"/>
  <c r="D277" i="26"/>
  <c r="C277" i="26"/>
  <c r="K276" i="26"/>
  <c r="J276" i="26"/>
  <c r="I276" i="26"/>
  <c r="H276" i="26"/>
  <c r="A276" i="26" s="1"/>
  <c r="G276" i="26"/>
  <c r="F276" i="26"/>
  <c r="E276" i="26"/>
  <c r="D276" i="26"/>
  <c r="C276" i="26"/>
  <c r="K275" i="26"/>
  <c r="J275" i="26"/>
  <c r="I275" i="26"/>
  <c r="H275" i="26"/>
  <c r="A275" i="26" s="1"/>
  <c r="G275" i="26"/>
  <c r="F275" i="26"/>
  <c r="E275" i="26"/>
  <c r="D275" i="26"/>
  <c r="C275" i="26"/>
  <c r="K274" i="26"/>
  <c r="J274" i="26"/>
  <c r="I274" i="26"/>
  <c r="H274" i="26"/>
  <c r="A274" i="26" s="1"/>
  <c r="G274" i="26"/>
  <c r="F274" i="26"/>
  <c r="E274" i="26"/>
  <c r="D274" i="26"/>
  <c r="C274" i="26"/>
  <c r="K273" i="26"/>
  <c r="J273" i="26"/>
  <c r="I273" i="26"/>
  <c r="H273" i="26"/>
  <c r="A273" i="26" s="1"/>
  <c r="G273" i="26"/>
  <c r="F273" i="26"/>
  <c r="E273" i="26"/>
  <c r="D273" i="26"/>
  <c r="C273" i="26"/>
  <c r="K272" i="26"/>
  <c r="J272" i="26"/>
  <c r="I272" i="26"/>
  <c r="H272" i="26"/>
  <c r="A272" i="26" s="1"/>
  <c r="G272" i="26"/>
  <c r="F272" i="26"/>
  <c r="E272" i="26"/>
  <c r="D272" i="26"/>
  <c r="C272" i="26"/>
  <c r="K271" i="26"/>
  <c r="J271" i="26"/>
  <c r="I271" i="26"/>
  <c r="H271" i="26"/>
  <c r="A271" i="26" s="1"/>
  <c r="G271" i="26"/>
  <c r="F271" i="26"/>
  <c r="E271" i="26"/>
  <c r="D271" i="26"/>
  <c r="C271" i="26"/>
  <c r="K270" i="26"/>
  <c r="J270" i="26"/>
  <c r="I270" i="26"/>
  <c r="H270" i="26"/>
  <c r="A270" i="26" s="1"/>
  <c r="G270" i="26"/>
  <c r="F270" i="26"/>
  <c r="E270" i="26"/>
  <c r="D270" i="26"/>
  <c r="C270" i="26"/>
  <c r="K269" i="26"/>
  <c r="J269" i="26"/>
  <c r="I269" i="26"/>
  <c r="H269" i="26"/>
  <c r="A269" i="26" s="1"/>
  <c r="G269" i="26"/>
  <c r="F269" i="26"/>
  <c r="E269" i="26"/>
  <c r="D269" i="26"/>
  <c r="C269" i="26"/>
  <c r="K268" i="26"/>
  <c r="J268" i="26"/>
  <c r="I268" i="26"/>
  <c r="H268" i="26"/>
  <c r="A268" i="26" s="1"/>
  <c r="G268" i="26"/>
  <c r="F268" i="26"/>
  <c r="E268" i="26"/>
  <c r="D268" i="26"/>
  <c r="C268" i="26"/>
  <c r="K267" i="26"/>
  <c r="J267" i="26"/>
  <c r="I267" i="26"/>
  <c r="H267" i="26"/>
  <c r="A267" i="26" s="1"/>
  <c r="G267" i="26"/>
  <c r="F267" i="26"/>
  <c r="E267" i="26"/>
  <c r="D267" i="26"/>
  <c r="C267" i="26"/>
  <c r="K266" i="26"/>
  <c r="J266" i="26"/>
  <c r="I266" i="26"/>
  <c r="H266" i="26"/>
  <c r="A266" i="26" s="1"/>
  <c r="G266" i="26"/>
  <c r="F266" i="26"/>
  <c r="E266" i="26"/>
  <c r="D266" i="26"/>
  <c r="C266" i="26"/>
  <c r="K265" i="26"/>
  <c r="J265" i="26"/>
  <c r="I265" i="26"/>
  <c r="H265" i="26"/>
  <c r="A265" i="26" s="1"/>
  <c r="G265" i="26"/>
  <c r="F265" i="26"/>
  <c r="E265" i="26"/>
  <c r="D265" i="26"/>
  <c r="C265" i="26"/>
  <c r="K264" i="26"/>
  <c r="J264" i="26"/>
  <c r="I264" i="26"/>
  <c r="H264" i="26"/>
  <c r="A264" i="26" s="1"/>
  <c r="G264" i="26"/>
  <c r="F264" i="26"/>
  <c r="E264" i="26"/>
  <c r="D264" i="26"/>
  <c r="C264" i="26"/>
  <c r="K263" i="26"/>
  <c r="J263" i="26"/>
  <c r="I263" i="26"/>
  <c r="H263" i="26"/>
  <c r="A263" i="26" s="1"/>
  <c r="G263" i="26"/>
  <c r="F263" i="26"/>
  <c r="E263" i="26"/>
  <c r="D263" i="26"/>
  <c r="C263" i="26"/>
  <c r="K262" i="26"/>
  <c r="J262" i="26"/>
  <c r="I262" i="26"/>
  <c r="H262" i="26"/>
  <c r="A262" i="26" s="1"/>
  <c r="G262" i="26"/>
  <c r="F262" i="26"/>
  <c r="E262" i="26"/>
  <c r="D262" i="26"/>
  <c r="C262" i="26"/>
  <c r="K261" i="26"/>
  <c r="J261" i="26"/>
  <c r="I261" i="26"/>
  <c r="H261" i="26"/>
  <c r="A261" i="26" s="1"/>
  <c r="G261" i="26"/>
  <c r="F261" i="26"/>
  <c r="E261" i="26"/>
  <c r="D261" i="26"/>
  <c r="C261" i="26"/>
  <c r="K260" i="26"/>
  <c r="J260" i="26"/>
  <c r="I260" i="26"/>
  <c r="H260" i="26"/>
  <c r="A260" i="26" s="1"/>
  <c r="G260" i="26"/>
  <c r="F260" i="26"/>
  <c r="E260" i="26"/>
  <c r="D260" i="26"/>
  <c r="C260" i="26"/>
  <c r="K259" i="26"/>
  <c r="J259" i="26"/>
  <c r="I259" i="26"/>
  <c r="H259" i="26"/>
  <c r="A259" i="26" s="1"/>
  <c r="G259" i="26"/>
  <c r="F259" i="26"/>
  <c r="E259" i="26"/>
  <c r="D259" i="26"/>
  <c r="C259" i="26"/>
  <c r="K258" i="26"/>
  <c r="J258" i="26"/>
  <c r="I258" i="26"/>
  <c r="H258" i="26"/>
  <c r="A258" i="26" s="1"/>
  <c r="G258" i="26"/>
  <c r="F258" i="26"/>
  <c r="E258" i="26"/>
  <c r="D258" i="26"/>
  <c r="C258" i="26"/>
  <c r="K257" i="26"/>
  <c r="J257" i="26"/>
  <c r="I257" i="26"/>
  <c r="H257" i="26"/>
  <c r="A257" i="26" s="1"/>
  <c r="G257" i="26"/>
  <c r="F257" i="26"/>
  <c r="E257" i="26"/>
  <c r="D257" i="26"/>
  <c r="C257" i="26"/>
  <c r="K256" i="26"/>
  <c r="J256" i="26"/>
  <c r="I256" i="26"/>
  <c r="H256" i="26"/>
  <c r="A256" i="26" s="1"/>
  <c r="G256" i="26"/>
  <c r="F256" i="26"/>
  <c r="E256" i="26"/>
  <c r="D256" i="26"/>
  <c r="C256" i="26"/>
  <c r="K255" i="26"/>
  <c r="J255" i="26"/>
  <c r="I255" i="26"/>
  <c r="H255" i="26"/>
  <c r="A255" i="26" s="1"/>
  <c r="G255" i="26"/>
  <c r="F255" i="26"/>
  <c r="E255" i="26"/>
  <c r="D255" i="26"/>
  <c r="C255" i="26"/>
  <c r="K254" i="26"/>
  <c r="J254" i="26"/>
  <c r="I254" i="26"/>
  <c r="H254" i="26"/>
  <c r="A254" i="26" s="1"/>
  <c r="G254" i="26"/>
  <c r="F254" i="26"/>
  <c r="E254" i="26"/>
  <c r="D254" i="26"/>
  <c r="C254" i="26"/>
  <c r="K253" i="26"/>
  <c r="J253" i="26"/>
  <c r="I253" i="26"/>
  <c r="H253" i="26"/>
  <c r="A253" i="26" s="1"/>
  <c r="G253" i="26"/>
  <c r="F253" i="26"/>
  <c r="E253" i="26"/>
  <c r="D253" i="26"/>
  <c r="C253" i="26"/>
  <c r="K252" i="26"/>
  <c r="J252" i="26"/>
  <c r="I252" i="26"/>
  <c r="H252" i="26"/>
  <c r="A252" i="26" s="1"/>
  <c r="G252" i="26"/>
  <c r="F252" i="26"/>
  <c r="E252" i="26"/>
  <c r="D252" i="26"/>
  <c r="C252" i="26"/>
  <c r="K251" i="26"/>
  <c r="J251" i="26"/>
  <c r="I251" i="26"/>
  <c r="H251" i="26"/>
  <c r="A251" i="26" s="1"/>
  <c r="G251" i="26"/>
  <c r="F251" i="26"/>
  <c r="E251" i="26"/>
  <c r="D251" i="26"/>
  <c r="C251" i="26"/>
  <c r="K250" i="26"/>
  <c r="J250" i="26"/>
  <c r="I250" i="26"/>
  <c r="H250" i="26"/>
  <c r="A250" i="26" s="1"/>
  <c r="G250" i="26"/>
  <c r="F250" i="26"/>
  <c r="E250" i="26"/>
  <c r="D250" i="26"/>
  <c r="C250" i="26"/>
  <c r="K249" i="26"/>
  <c r="J249" i="26"/>
  <c r="I249" i="26"/>
  <c r="H249" i="26"/>
  <c r="A249" i="26" s="1"/>
  <c r="G249" i="26"/>
  <c r="F249" i="26"/>
  <c r="E249" i="26"/>
  <c r="D249" i="26"/>
  <c r="C249" i="26"/>
  <c r="K248" i="26"/>
  <c r="J248" i="26"/>
  <c r="I248" i="26"/>
  <c r="H248" i="26"/>
  <c r="A248" i="26" s="1"/>
  <c r="G248" i="26"/>
  <c r="F248" i="26"/>
  <c r="E248" i="26"/>
  <c r="D248" i="26"/>
  <c r="C248" i="26"/>
  <c r="K247" i="26"/>
  <c r="J247" i="26"/>
  <c r="I247" i="26"/>
  <c r="H247" i="26"/>
  <c r="A247" i="26" s="1"/>
  <c r="G247" i="26"/>
  <c r="F247" i="26"/>
  <c r="E247" i="26"/>
  <c r="D247" i="26"/>
  <c r="C247" i="26"/>
  <c r="K246" i="26"/>
  <c r="J246" i="26"/>
  <c r="I246" i="26"/>
  <c r="H246" i="26"/>
  <c r="A246" i="26" s="1"/>
  <c r="G246" i="26"/>
  <c r="F246" i="26"/>
  <c r="E246" i="26"/>
  <c r="D246" i="26"/>
  <c r="C246" i="26"/>
  <c r="K245" i="26"/>
  <c r="J245" i="26"/>
  <c r="I245" i="26"/>
  <c r="H245" i="26"/>
  <c r="A245" i="26" s="1"/>
  <c r="G245" i="26"/>
  <c r="F245" i="26"/>
  <c r="E245" i="26"/>
  <c r="D245" i="26"/>
  <c r="C245" i="26"/>
  <c r="K244" i="26"/>
  <c r="J244" i="26"/>
  <c r="I244" i="26"/>
  <c r="H244" i="26"/>
  <c r="A244" i="26" s="1"/>
  <c r="G244" i="26"/>
  <c r="F244" i="26"/>
  <c r="E244" i="26"/>
  <c r="D244" i="26"/>
  <c r="C244" i="26"/>
  <c r="K243" i="26"/>
  <c r="J243" i="26"/>
  <c r="I243" i="26"/>
  <c r="H243" i="26"/>
  <c r="A243" i="26" s="1"/>
  <c r="G243" i="26"/>
  <c r="F243" i="26"/>
  <c r="E243" i="26"/>
  <c r="D243" i="26"/>
  <c r="C243" i="26"/>
  <c r="K242" i="26"/>
  <c r="J242" i="26"/>
  <c r="I242" i="26"/>
  <c r="H242" i="26"/>
  <c r="A242" i="26" s="1"/>
  <c r="G242" i="26"/>
  <c r="F242" i="26"/>
  <c r="E242" i="26"/>
  <c r="D242" i="26"/>
  <c r="C242" i="26"/>
  <c r="K241" i="26"/>
  <c r="J241" i="26"/>
  <c r="I241" i="26"/>
  <c r="H241" i="26"/>
  <c r="A241" i="26" s="1"/>
  <c r="G241" i="26"/>
  <c r="F241" i="26"/>
  <c r="E241" i="26"/>
  <c r="D241" i="26"/>
  <c r="C241" i="26"/>
  <c r="K240" i="26"/>
  <c r="J240" i="26"/>
  <c r="I240" i="26"/>
  <c r="H240" i="26"/>
  <c r="A240" i="26" s="1"/>
  <c r="G240" i="26"/>
  <c r="F240" i="26"/>
  <c r="E240" i="26"/>
  <c r="D240" i="26"/>
  <c r="C240" i="26"/>
  <c r="K239" i="26"/>
  <c r="J239" i="26"/>
  <c r="I239" i="26"/>
  <c r="H239" i="26"/>
  <c r="A239" i="26" s="1"/>
  <c r="G239" i="26"/>
  <c r="F239" i="26"/>
  <c r="E239" i="26"/>
  <c r="D239" i="26"/>
  <c r="C239" i="26"/>
  <c r="K238" i="26"/>
  <c r="J238" i="26"/>
  <c r="I238" i="26"/>
  <c r="H238" i="26"/>
  <c r="A238" i="26" s="1"/>
  <c r="G238" i="26"/>
  <c r="F238" i="26"/>
  <c r="E238" i="26"/>
  <c r="D238" i="26"/>
  <c r="C238" i="26"/>
  <c r="K237" i="26"/>
  <c r="J237" i="26"/>
  <c r="I237" i="26"/>
  <c r="H237" i="26"/>
  <c r="A237" i="26" s="1"/>
  <c r="G237" i="26"/>
  <c r="F237" i="26"/>
  <c r="E237" i="26"/>
  <c r="D237" i="26"/>
  <c r="C237" i="26"/>
  <c r="K236" i="26"/>
  <c r="J236" i="26"/>
  <c r="I236" i="26"/>
  <c r="H236" i="26"/>
  <c r="A236" i="26" s="1"/>
  <c r="G236" i="26"/>
  <c r="F236" i="26"/>
  <c r="E236" i="26"/>
  <c r="D236" i="26"/>
  <c r="C236" i="26"/>
  <c r="K235" i="26"/>
  <c r="J235" i="26"/>
  <c r="I235" i="26"/>
  <c r="H235" i="26"/>
  <c r="A235" i="26" s="1"/>
  <c r="G235" i="26"/>
  <c r="F235" i="26"/>
  <c r="E235" i="26"/>
  <c r="D235" i="26"/>
  <c r="C235" i="26"/>
  <c r="K234" i="26"/>
  <c r="J234" i="26"/>
  <c r="I234" i="26"/>
  <c r="H234" i="26"/>
  <c r="A234" i="26" s="1"/>
  <c r="G234" i="26"/>
  <c r="F234" i="26"/>
  <c r="E234" i="26"/>
  <c r="D234" i="26"/>
  <c r="C234" i="26"/>
  <c r="K233" i="26"/>
  <c r="J233" i="26"/>
  <c r="I233" i="26"/>
  <c r="H233" i="26"/>
  <c r="A233" i="26" s="1"/>
  <c r="G233" i="26"/>
  <c r="F233" i="26"/>
  <c r="E233" i="26"/>
  <c r="D233" i="26"/>
  <c r="C233" i="26"/>
  <c r="K232" i="26"/>
  <c r="J232" i="26"/>
  <c r="I232" i="26"/>
  <c r="H232" i="26"/>
  <c r="A232" i="26" s="1"/>
  <c r="G232" i="26"/>
  <c r="F232" i="26"/>
  <c r="E232" i="26"/>
  <c r="D232" i="26"/>
  <c r="C232" i="26"/>
  <c r="K231" i="26"/>
  <c r="J231" i="26"/>
  <c r="I231" i="26"/>
  <c r="H231" i="26"/>
  <c r="A231" i="26" s="1"/>
  <c r="G231" i="26"/>
  <c r="F231" i="26"/>
  <c r="E231" i="26"/>
  <c r="D231" i="26"/>
  <c r="C231" i="26"/>
  <c r="K230" i="26"/>
  <c r="J230" i="26"/>
  <c r="I230" i="26"/>
  <c r="H230" i="26"/>
  <c r="A230" i="26" s="1"/>
  <c r="G230" i="26"/>
  <c r="F230" i="26"/>
  <c r="E230" i="26"/>
  <c r="D230" i="26"/>
  <c r="C230" i="26"/>
  <c r="K229" i="26"/>
  <c r="J229" i="26"/>
  <c r="I229" i="26"/>
  <c r="H229" i="26"/>
  <c r="A229" i="26" s="1"/>
  <c r="G229" i="26"/>
  <c r="F229" i="26"/>
  <c r="E229" i="26"/>
  <c r="D229" i="26"/>
  <c r="C229" i="26"/>
  <c r="K228" i="26"/>
  <c r="J228" i="26"/>
  <c r="I228" i="26"/>
  <c r="H228" i="26"/>
  <c r="A228" i="26" s="1"/>
  <c r="G228" i="26"/>
  <c r="F228" i="26"/>
  <c r="E228" i="26"/>
  <c r="D228" i="26"/>
  <c r="C228" i="26"/>
  <c r="K227" i="26"/>
  <c r="J227" i="26"/>
  <c r="I227" i="26"/>
  <c r="H227" i="26"/>
  <c r="A227" i="26" s="1"/>
  <c r="G227" i="26"/>
  <c r="F227" i="26"/>
  <c r="E227" i="26"/>
  <c r="D227" i="26"/>
  <c r="C227" i="26"/>
  <c r="K226" i="26"/>
  <c r="J226" i="26"/>
  <c r="I226" i="26"/>
  <c r="H226" i="26"/>
  <c r="A226" i="26" s="1"/>
  <c r="G226" i="26"/>
  <c r="F226" i="26"/>
  <c r="E226" i="26"/>
  <c r="D226" i="26"/>
  <c r="C226" i="26"/>
  <c r="K225" i="26"/>
  <c r="J225" i="26"/>
  <c r="I225" i="26"/>
  <c r="H225" i="26"/>
  <c r="A225" i="26" s="1"/>
  <c r="G225" i="26"/>
  <c r="F225" i="26"/>
  <c r="E225" i="26"/>
  <c r="D225" i="26"/>
  <c r="C225" i="26"/>
  <c r="K224" i="26"/>
  <c r="J224" i="26"/>
  <c r="I224" i="26"/>
  <c r="H224" i="26"/>
  <c r="A224" i="26" s="1"/>
  <c r="G224" i="26"/>
  <c r="F224" i="26"/>
  <c r="E224" i="26"/>
  <c r="D224" i="26"/>
  <c r="C224" i="26"/>
  <c r="K223" i="26"/>
  <c r="J223" i="26"/>
  <c r="I223" i="26"/>
  <c r="H223" i="26"/>
  <c r="A223" i="26" s="1"/>
  <c r="G223" i="26"/>
  <c r="F223" i="26"/>
  <c r="E223" i="26"/>
  <c r="D223" i="26"/>
  <c r="C223" i="26"/>
  <c r="K222" i="26"/>
  <c r="J222" i="26"/>
  <c r="I222" i="26"/>
  <c r="H222" i="26"/>
  <c r="A222" i="26" s="1"/>
  <c r="G222" i="26"/>
  <c r="F222" i="26"/>
  <c r="E222" i="26"/>
  <c r="D222" i="26"/>
  <c r="C222" i="26"/>
  <c r="K221" i="26"/>
  <c r="J221" i="26"/>
  <c r="I221" i="26"/>
  <c r="H221" i="26"/>
  <c r="A221" i="26" s="1"/>
  <c r="G221" i="26"/>
  <c r="F221" i="26"/>
  <c r="E221" i="26"/>
  <c r="D221" i="26"/>
  <c r="C221" i="26"/>
  <c r="K220" i="26"/>
  <c r="J220" i="26"/>
  <c r="I220" i="26"/>
  <c r="H220" i="26"/>
  <c r="A220" i="26" s="1"/>
  <c r="G220" i="26"/>
  <c r="F220" i="26"/>
  <c r="E220" i="26"/>
  <c r="D220" i="26"/>
  <c r="C220" i="26"/>
  <c r="K219" i="26"/>
  <c r="J219" i="26"/>
  <c r="I219" i="26"/>
  <c r="H219" i="26"/>
  <c r="A219" i="26" s="1"/>
  <c r="G219" i="26"/>
  <c r="F219" i="26"/>
  <c r="E219" i="26"/>
  <c r="D219" i="26"/>
  <c r="C219" i="26"/>
  <c r="K218" i="26"/>
  <c r="J218" i="26"/>
  <c r="I218" i="26"/>
  <c r="H218" i="26"/>
  <c r="A218" i="26" s="1"/>
  <c r="G218" i="26"/>
  <c r="F218" i="26"/>
  <c r="E218" i="26"/>
  <c r="D218" i="26"/>
  <c r="C218" i="26"/>
  <c r="K217" i="26"/>
  <c r="J217" i="26"/>
  <c r="I217" i="26"/>
  <c r="H217" i="26"/>
  <c r="A217" i="26" s="1"/>
  <c r="G217" i="26"/>
  <c r="F217" i="26"/>
  <c r="E217" i="26"/>
  <c r="D217" i="26"/>
  <c r="C217" i="26"/>
  <c r="K213" i="26"/>
  <c r="J213" i="26"/>
  <c r="I213" i="26"/>
  <c r="H213" i="26"/>
  <c r="A213" i="26" s="1"/>
  <c r="G213" i="26"/>
  <c r="F213" i="26"/>
  <c r="E213" i="26"/>
  <c r="D213" i="26"/>
  <c r="C213" i="26"/>
  <c r="K212" i="26"/>
  <c r="J212" i="26"/>
  <c r="I212" i="26"/>
  <c r="H212" i="26"/>
  <c r="A212" i="26" s="1"/>
  <c r="G212" i="26"/>
  <c r="F212" i="26"/>
  <c r="E212" i="26"/>
  <c r="D212" i="26"/>
  <c r="C212" i="26"/>
  <c r="K211" i="26"/>
  <c r="J211" i="26"/>
  <c r="I211" i="26"/>
  <c r="H211" i="26"/>
  <c r="A211" i="26" s="1"/>
  <c r="G211" i="26"/>
  <c r="F211" i="26"/>
  <c r="E211" i="26"/>
  <c r="D211" i="26"/>
  <c r="C211" i="26"/>
  <c r="K210" i="26"/>
  <c r="J210" i="26"/>
  <c r="I210" i="26"/>
  <c r="H210" i="26"/>
  <c r="A210" i="26" s="1"/>
  <c r="G210" i="26"/>
  <c r="F210" i="26"/>
  <c r="E210" i="26"/>
  <c r="D210" i="26"/>
  <c r="C210" i="26"/>
  <c r="K209" i="26"/>
  <c r="J209" i="26"/>
  <c r="I209" i="26"/>
  <c r="H209" i="26"/>
  <c r="A209" i="26" s="1"/>
  <c r="G209" i="26"/>
  <c r="F209" i="26"/>
  <c r="E209" i="26"/>
  <c r="D209" i="26"/>
  <c r="C209" i="26"/>
  <c r="K208" i="26"/>
  <c r="J208" i="26"/>
  <c r="I208" i="26"/>
  <c r="H208" i="26"/>
  <c r="A208" i="26" s="1"/>
  <c r="G208" i="26"/>
  <c r="F208" i="26"/>
  <c r="E208" i="26"/>
  <c r="D208" i="26"/>
  <c r="C208" i="26"/>
  <c r="K207" i="26"/>
  <c r="J207" i="26"/>
  <c r="I207" i="26"/>
  <c r="H207" i="26"/>
  <c r="A207" i="26" s="1"/>
  <c r="G207" i="26"/>
  <c r="F207" i="26"/>
  <c r="E207" i="26"/>
  <c r="D207" i="26"/>
  <c r="C207" i="26"/>
  <c r="K206" i="26"/>
  <c r="J206" i="26"/>
  <c r="I206" i="26"/>
  <c r="H206" i="26"/>
  <c r="A206" i="26" s="1"/>
  <c r="G206" i="26"/>
  <c r="F206" i="26"/>
  <c r="E206" i="26"/>
  <c r="D206" i="26"/>
  <c r="C206" i="26"/>
  <c r="K205" i="26"/>
  <c r="J205" i="26"/>
  <c r="I205" i="26"/>
  <c r="H205" i="26"/>
  <c r="A205" i="26" s="1"/>
  <c r="G205" i="26"/>
  <c r="F205" i="26"/>
  <c r="E205" i="26"/>
  <c r="D205" i="26"/>
  <c r="C205" i="26"/>
  <c r="K204" i="26"/>
  <c r="J204" i="26"/>
  <c r="I204" i="26"/>
  <c r="H204" i="26"/>
  <c r="A204" i="26" s="1"/>
  <c r="G204" i="26"/>
  <c r="F204" i="26"/>
  <c r="E204" i="26"/>
  <c r="D204" i="26"/>
  <c r="C204" i="26"/>
  <c r="K203" i="26"/>
  <c r="J203" i="26"/>
  <c r="I203" i="26"/>
  <c r="H203" i="26"/>
  <c r="A203" i="26" s="1"/>
  <c r="G203" i="26"/>
  <c r="F203" i="26"/>
  <c r="E203" i="26"/>
  <c r="D203" i="26"/>
  <c r="C203" i="26"/>
  <c r="K199" i="26"/>
  <c r="J199" i="26"/>
  <c r="I199" i="26"/>
  <c r="H199" i="26"/>
  <c r="A199" i="26" s="1"/>
  <c r="G199" i="26"/>
  <c r="F199" i="26"/>
  <c r="E199" i="26"/>
  <c r="D199" i="26"/>
  <c r="C199" i="26"/>
  <c r="K198" i="26"/>
  <c r="J198" i="26"/>
  <c r="I198" i="26"/>
  <c r="H198" i="26"/>
  <c r="A198" i="26" s="1"/>
  <c r="G198" i="26"/>
  <c r="F198" i="26"/>
  <c r="E198" i="26"/>
  <c r="D198" i="26"/>
  <c r="C198" i="26"/>
  <c r="K197" i="26"/>
  <c r="J197" i="26"/>
  <c r="I197" i="26"/>
  <c r="H197" i="26"/>
  <c r="A197" i="26" s="1"/>
  <c r="G197" i="26"/>
  <c r="F197" i="26"/>
  <c r="E197" i="26"/>
  <c r="D197" i="26"/>
  <c r="C197" i="26"/>
  <c r="K196" i="26"/>
  <c r="J196" i="26"/>
  <c r="I196" i="26"/>
  <c r="H196" i="26"/>
  <c r="A196" i="26" s="1"/>
  <c r="G196" i="26"/>
  <c r="F196" i="26"/>
  <c r="E196" i="26"/>
  <c r="D196" i="26"/>
  <c r="C196" i="26"/>
  <c r="K195" i="26"/>
  <c r="J195" i="26"/>
  <c r="I195" i="26"/>
  <c r="H195" i="26"/>
  <c r="A195" i="26" s="1"/>
  <c r="G195" i="26"/>
  <c r="F195" i="26"/>
  <c r="E195" i="26"/>
  <c r="D195" i="26"/>
  <c r="C195" i="26"/>
  <c r="K194" i="26"/>
  <c r="J194" i="26"/>
  <c r="I194" i="26"/>
  <c r="H194" i="26"/>
  <c r="A194" i="26" s="1"/>
  <c r="G194" i="26"/>
  <c r="F194" i="26"/>
  <c r="E194" i="26"/>
  <c r="D194" i="26"/>
  <c r="C194" i="26"/>
  <c r="K190" i="26"/>
  <c r="J190" i="26"/>
  <c r="I190" i="26"/>
  <c r="H190" i="26"/>
  <c r="A190" i="26" s="1"/>
  <c r="G190" i="26"/>
  <c r="F190" i="26"/>
  <c r="E190" i="26"/>
  <c r="D190" i="26"/>
  <c r="C190" i="26"/>
  <c r="K186" i="26"/>
  <c r="J186" i="26"/>
  <c r="I186" i="26"/>
  <c r="H186" i="26"/>
  <c r="A186" i="26" s="1"/>
  <c r="G186" i="26"/>
  <c r="F186" i="26"/>
  <c r="E186" i="26"/>
  <c r="D186" i="26"/>
  <c r="C186" i="26"/>
  <c r="K185" i="26"/>
  <c r="J185" i="26"/>
  <c r="I185" i="26"/>
  <c r="H185" i="26"/>
  <c r="A185" i="26" s="1"/>
  <c r="G185" i="26"/>
  <c r="F185" i="26"/>
  <c r="E185" i="26"/>
  <c r="D185" i="26"/>
  <c r="C185" i="26"/>
  <c r="K184" i="26"/>
  <c r="J184" i="26"/>
  <c r="I184" i="26"/>
  <c r="H184" i="26"/>
  <c r="A184" i="26" s="1"/>
  <c r="G184" i="26"/>
  <c r="F184" i="26"/>
  <c r="E184" i="26"/>
  <c r="D184" i="26"/>
  <c r="C184" i="26"/>
  <c r="K180" i="26"/>
  <c r="J180" i="26"/>
  <c r="I180" i="26"/>
  <c r="H180" i="26"/>
  <c r="A180" i="26" s="1"/>
  <c r="G180" i="26"/>
  <c r="F180" i="26"/>
  <c r="E180" i="26"/>
  <c r="D180" i="26"/>
  <c r="C180" i="26"/>
  <c r="K179" i="26"/>
  <c r="J179" i="26"/>
  <c r="I179" i="26"/>
  <c r="H179" i="26"/>
  <c r="A179" i="26" s="1"/>
  <c r="G179" i="26"/>
  <c r="F179" i="26"/>
  <c r="E179" i="26"/>
  <c r="D179" i="26"/>
  <c r="C179" i="26"/>
  <c r="K178" i="26"/>
  <c r="J178" i="26"/>
  <c r="I178" i="26"/>
  <c r="H178" i="26"/>
  <c r="A178" i="26" s="1"/>
  <c r="G178" i="26"/>
  <c r="F178" i="26"/>
  <c r="E178" i="26"/>
  <c r="D178" i="26"/>
  <c r="C178" i="26"/>
  <c r="K177" i="26"/>
  <c r="J177" i="26"/>
  <c r="I177" i="26"/>
  <c r="H177" i="26"/>
  <c r="A177" i="26" s="1"/>
  <c r="G177" i="26"/>
  <c r="F177" i="26"/>
  <c r="E177" i="26"/>
  <c r="D177" i="26"/>
  <c r="C177" i="26"/>
  <c r="K176" i="26"/>
  <c r="J176" i="26"/>
  <c r="I176" i="26"/>
  <c r="H176" i="26"/>
  <c r="A176" i="26" s="1"/>
  <c r="G176" i="26"/>
  <c r="F176" i="26"/>
  <c r="E176" i="26"/>
  <c r="D176" i="26"/>
  <c r="C176" i="26"/>
  <c r="K172" i="26"/>
  <c r="J172" i="26"/>
  <c r="I172" i="26"/>
  <c r="H172" i="26"/>
  <c r="A172" i="26" s="1"/>
  <c r="G172" i="26"/>
  <c r="F172" i="26"/>
  <c r="E172" i="26"/>
  <c r="D172" i="26"/>
  <c r="C172" i="26"/>
  <c r="K171" i="26"/>
  <c r="J171" i="26"/>
  <c r="I171" i="26"/>
  <c r="H171" i="26"/>
  <c r="A171" i="26" s="1"/>
  <c r="G171" i="26"/>
  <c r="F171" i="26"/>
  <c r="E171" i="26"/>
  <c r="D171" i="26"/>
  <c r="C171" i="26"/>
  <c r="K170" i="26"/>
  <c r="J170" i="26"/>
  <c r="I170" i="26"/>
  <c r="H170" i="26"/>
  <c r="A170" i="26" s="1"/>
  <c r="G170" i="26"/>
  <c r="F170" i="26"/>
  <c r="E170" i="26"/>
  <c r="D170" i="26"/>
  <c r="C170" i="26"/>
  <c r="K169" i="26"/>
  <c r="J169" i="26"/>
  <c r="I169" i="26"/>
  <c r="H169" i="26"/>
  <c r="A169" i="26" s="1"/>
  <c r="G169" i="26"/>
  <c r="F169" i="26"/>
  <c r="E169" i="26"/>
  <c r="D169" i="26"/>
  <c r="C169" i="26"/>
  <c r="K168" i="26"/>
  <c r="J168" i="26"/>
  <c r="I168" i="26"/>
  <c r="H168" i="26"/>
  <c r="A168" i="26" s="1"/>
  <c r="G168" i="26"/>
  <c r="F168" i="26"/>
  <c r="E168" i="26"/>
  <c r="D168" i="26"/>
  <c r="C168" i="26"/>
  <c r="K167" i="26"/>
  <c r="J167" i="26"/>
  <c r="I167" i="26"/>
  <c r="H167" i="26"/>
  <c r="A167" i="26" s="1"/>
  <c r="G167" i="26"/>
  <c r="F167" i="26"/>
  <c r="E167" i="26"/>
  <c r="D167" i="26"/>
  <c r="C167" i="26"/>
  <c r="K166" i="26"/>
  <c r="J166" i="26"/>
  <c r="I166" i="26"/>
  <c r="H166" i="26"/>
  <c r="A166" i="26" s="1"/>
  <c r="G166" i="26"/>
  <c r="F166" i="26"/>
  <c r="E166" i="26"/>
  <c r="D166" i="26"/>
  <c r="C166" i="26"/>
  <c r="K165" i="26"/>
  <c r="J165" i="26"/>
  <c r="I165" i="26"/>
  <c r="H165" i="26"/>
  <c r="A165" i="26" s="1"/>
  <c r="G165" i="26"/>
  <c r="F165" i="26"/>
  <c r="E165" i="26"/>
  <c r="D165" i="26"/>
  <c r="C165" i="26"/>
  <c r="K164" i="26"/>
  <c r="J164" i="26"/>
  <c r="I164" i="26"/>
  <c r="H164" i="26"/>
  <c r="A164" i="26" s="1"/>
  <c r="G164" i="26"/>
  <c r="F164" i="26"/>
  <c r="E164" i="26"/>
  <c r="D164" i="26"/>
  <c r="C164" i="26"/>
  <c r="K163" i="26"/>
  <c r="J163" i="26"/>
  <c r="I163" i="26"/>
  <c r="H163" i="26"/>
  <c r="A163" i="26" s="1"/>
  <c r="G163" i="26"/>
  <c r="F163" i="26"/>
  <c r="E163" i="26"/>
  <c r="D163" i="26"/>
  <c r="C163" i="26"/>
  <c r="K162" i="26"/>
  <c r="J162" i="26"/>
  <c r="I162" i="26"/>
  <c r="H162" i="26"/>
  <c r="A162" i="26" s="1"/>
  <c r="G162" i="26"/>
  <c r="F162" i="26"/>
  <c r="E162" i="26"/>
  <c r="D162" i="26"/>
  <c r="C162" i="26"/>
  <c r="K161" i="26"/>
  <c r="J161" i="26"/>
  <c r="I161" i="26"/>
  <c r="H161" i="26"/>
  <c r="A161" i="26" s="1"/>
  <c r="G161" i="26"/>
  <c r="F161" i="26"/>
  <c r="E161" i="26"/>
  <c r="D161" i="26"/>
  <c r="C161" i="26"/>
  <c r="K160" i="26"/>
  <c r="J160" i="26"/>
  <c r="I160" i="26"/>
  <c r="H160" i="26"/>
  <c r="A160" i="26" s="1"/>
  <c r="G160" i="26"/>
  <c r="F160" i="26"/>
  <c r="E160" i="26"/>
  <c r="D160" i="26"/>
  <c r="C160" i="26"/>
  <c r="K159" i="26"/>
  <c r="J159" i="26"/>
  <c r="I159" i="26"/>
  <c r="H159" i="26"/>
  <c r="A159" i="26" s="1"/>
  <c r="G159" i="26"/>
  <c r="F159" i="26"/>
  <c r="E159" i="26"/>
  <c r="D159" i="26"/>
  <c r="C159" i="26"/>
  <c r="K158" i="26"/>
  <c r="J158" i="26"/>
  <c r="I158" i="26"/>
  <c r="H158" i="26"/>
  <c r="A158" i="26" s="1"/>
  <c r="G158" i="26"/>
  <c r="F158" i="26"/>
  <c r="E158" i="26"/>
  <c r="D158" i="26"/>
  <c r="C158" i="26"/>
  <c r="K157" i="26"/>
  <c r="J157" i="26"/>
  <c r="I157" i="26"/>
  <c r="H157" i="26"/>
  <c r="A157" i="26" s="1"/>
  <c r="G157" i="26"/>
  <c r="F157" i="26"/>
  <c r="E157" i="26"/>
  <c r="D157" i="26"/>
  <c r="C157" i="26"/>
  <c r="K156" i="26"/>
  <c r="J156" i="26"/>
  <c r="I156" i="26"/>
  <c r="H156" i="26"/>
  <c r="A156" i="26" s="1"/>
  <c r="G156" i="26"/>
  <c r="F156" i="26"/>
  <c r="E156" i="26"/>
  <c r="D156" i="26"/>
  <c r="C156" i="26"/>
  <c r="K155" i="26"/>
  <c r="J155" i="26"/>
  <c r="I155" i="26"/>
  <c r="H155" i="26"/>
  <c r="A155" i="26" s="1"/>
  <c r="G155" i="26"/>
  <c r="F155" i="26"/>
  <c r="E155" i="26"/>
  <c r="D155" i="26"/>
  <c r="C155" i="26"/>
  <c r="K154" i="26"/>
  <c r="J154" i="26"/>
  <c r="I154" i="26"/>
  <c r="H154" i="26"/>
  <c r="A154" i="26" s="1"/>
  <c r="G154" i="26"/>
  <c r="F154" i="26"/>
  <c r="E154" i="26"/>
  <c r="D154" i="26"/>
  <c r="C154" i="26"/>
  <c r="K153" i="26"/>
  <c r="J153" i="26"/>
  <c r="I153" i="26"/>
  <c r="H153" i="26"/>
  <c r="A153" i="26" s="1"/>
  <c r="G153" i="26"/>
  <c r="F153" i="26"/>
  <c r="E153" i="26"/>
  <c r="D153" i="26"/>
  <c r="C153" i="26"/>
  <c r="K152" i="26"/>
  <c r="J152" i="26"/>
  <c r="I152" i="26"/>
  <c r="H152" i="26"/>
  <c r="A152" i="26" s="1"/>
  <c r="G152" i="26"/>
  <c r="F152" i="26"/>
  <c r="E152" i="26"/>
  <c r="D152" i="26"/>
  <c r="C152" i="26"/>
  <c r="K151" i="26"/>
  <c r="J151" i="26"/>
  <c r="I151" i="26"/>
  <c r="H151" i="26"/>
  <c r="A151" i="26" s="1"/>
  <c r="G151" i="26"/>
  <c r="F151" i="26"/>
  <c r="E151" i="26"/>
  <c r="D151" i="26"/>
  <c r="C151" i="26"/>
  <c r="K147" i="26"/>
  <c r="J147" i="26"/>
  <c r="I147" i="26"/>
  <c r="H147" i="26"/>
  <c r="A147" i="26" s="1"/>
  <c r="G147" i="26"/>
  <c r="F147" i="26"/>
  <c r="E147" i="26"/>
  <c r="D147" i="26"/>
  <c r="C147" i="26"/>
  <c r="K146" i="26"/>
  <c r="J146" i="26"/>
  <c r="I146" i="26"/>
  <c r="H146" i="26"/>
  <c r="A146" i="26" s="1"/>
  <c r="G146" i="26"/>
  <c r="F146" i="26"/>
  <c r="E146" i="26"/>
  <c r="D146" i="26"/>
  <c r="C146" i="26"/>
  <c r="K145" i="26"/>
  <c r="J145" i="26"/>
  <c r="I145" i="26"/>
  <c r="H145" i="26"/>
  <c r="A145" i="26" s="1"/>
  <c r="G145" i="26"/>
  <c r="F145" i="26"/>
  <c r="E145" i="26"/>
  <c r="D145" i="26"/>
  <c r="C145" i="26"/>
  <c r="K144" i="26"/>
  <c r="J144" i="26"/>
  <c r="I144" i="26"/>
  <c r="H144" i="26"/>
  <c r="A144" i="26" s="1"/>
  <c r="G144" i="26"/>
  <c r="F144" i="26"/>
  <c r="E144" i="26"/>
  <c r="D144" i="26"/>
  <c r="C144" i="26"/>
  <c r="K143" i="26"/>
  <c r="J143" i="26"/>
  <c r="I143" i="26"/>
  <c r="H143" i="26"/>
  <c r="A143" i="26" s="1"/>
  <c r="G143" i="26"/>
  <c r="F143" i="26"/>
  <c r="E143" i="26"/>
  <c r="D143" i="26"/>
  <c r="C143" i="26"/>
  <c r="K142" i="26"/>
  <c r="J142" i="26"/>
  <c r="I142" i="26"/>
  <c r="H142" i="26"/>
  <c r="A142" i="26" s="1"/>
  <c r="G142" i="26"/>
  <c r="F142" i="26"/>
  <c r="E142" i="26"/>
  <c r="D142" i="26"/>
  <c r="C142" i="26"/>
  <c r="K138" i="26"/>
  <c r="J138" i="26"/>
  <c r="I138" i="26"/>
  <c r="H138" i="26"/>
  <c r="A138" i="26" s="1"/>
  <c r="G138" i="26"/>
  <c r="F138" i="26"/>
  <c r="E138" i="26"/>
  <c r="D138" i="26"/>
  <c r="C138" i="26"/>
  <c r="K137" i="26"/>
  <c r="J137" i="26"/>
  <c r="I137" i="26"/>
  <c r="H137" i="26"/>
  <c r="A137" i="26" s="1"/>
  <c r="G137" i="26"/>
  <c r="F137" i="26"/>
  <c r="E137" i="26"/>
  <c r="D137" i="26"/>
  <c r="C137" i="26"/>
  <c r="K136" i="26"/>
  <c r="J136" i="26"/>
  <c r="I136" i="26"/>
  <c r="H136" i="26"/>
  <c r="A136" i="26" s="1"/>
  <c r="G136" i="26"/>
  <c r="F136" i="26"/>
  <c r="E136" i="26"/>
  <c r="D136" i="26"/>
  <c r="C136" i="26"/>
  <c r="K135" i="26"/>
  <c r="J135" i="26"/>
  <c r="I135" i="26"/>
  <c r="H135" i="26"/>
  <c r="A135" i="26" s="1"/>
  <c r="G135" i="26"/>
  <c r="F135" i="26"/>
  <c r="E135" i="26"/>
  <c r="D135" i="26"/>
  <c r="C135" i="26"/>
  <c r="K134" i="26"/>
  <c r="J134" i="26"/>
  <c r="I134" i="26"/>
  <c r="H134" i="26"/>
  <c r="A134" i="26" s="1"/>
  <c r="G134" i="26"/>
  <c r="F134" i="26"/>
  <c r="E134" i="26"/>
  <c r="D134" i="26"/>
  <c r="C134" i="26"/>
  <c r="K133" i="26"/>
  <c r="J133" i="26"/>
  <c r="I133" i="26"/>
  <c r="H133" i="26"/>
  <c r="A133" i="26" s="1"/>
  <c r="G133" i="26"/>
  <c r="F133" i="26"/>
  <c r="E133" i="26"/>
  <c r="D133" i="26"/>
  <c r="C133" i="26"/>
  <c r="K132" i="26"/>
  <c r="J132" i="26"/>
  <c r="I132" i="26"/>
  <c r="H132" i="26"/>
  <c r="A132" i="26" s="1"/>
  <c r="G132" i="26"/>
  <c r="F132" i="26"/>
  <c r="E132" i="26"/>
  <c r="D132" i="26"/>
  <c r="C132" i="26"/>
  <c r="K131" i="26"/>
  <c r="J131" i="26"/>
  <c r="I131" i="26"/>
  <c r="H131" i="26"/>
  <c r="A131" i="26" s="1"/>
  <c r="G131" i="26"/>
  <c r="F131" i="26"/>
  <c r="E131" i="26"/>
  <c r="D131" i="26"/>
  <c r="C131" i="26"/>
  <c r="K127" i="26"/>
  <c r="J127" i="26"/>
  <c r="I127" i="26"/>
  <c r="H127" i="26"/>
  <c r="A127" i="26" s="1"/>
  <c r="G127" i="26"/>
  <c r="F127" i="26"/>
  <c r="E127" i="26"/>
  <c r="D127" i="26"/>
  <c r="C127" i="26"/>
  <c r="K126" i="26"/>
  <c r="J126" i="26"/>
  <c r="I126" i="26"/>
  <c r="H126" i="26"/>
  <c r="A126" i="26" s="1"/>
  <c r="G126" i="26"/>
  <c r="F126" i="26"/>
  <c r="E126" i="26"/>
  <c r="D126" i="26"/>
  <c r="C126" i="26"/>
  <c r="K125" i="26"/>
  <c r="J125" i="26"/>
  <c r="I125" i="26"/>
  <c r="H125" i="26"/>
  <c r="A125" i="26" s="1"/>
  <c r="G125" i="26"/>
  <c r="F125" i="26"/>
  <c r="E125" i="26"/>
  <c r="D125" i="26"/>
  <c r="C125" i="26"/>
  <c r="K124" i="26"/>
  <c r="J124" i="26"/>
  <c r="I124" i="26"/>
  <c r="H124" i="26"/>
  <c r="A124" i="26" s="1"/>
  <c r="G124" i="26"/>
  <c r="F124" i="26"/>
  <c r="E124" i="26"/>
  <c r="D124" i="26"/>
  <c r="C124" i="26"/>
  <c r="K123" i="26"/>
  <c r="J123" i="26"/>
  <c r="I123" i="26"/>
  <c r="H123" i="26"/>
  <c r="A123" i="26" s="1"/>
  <c r="G123" i="26"/>
  <c r="F123" i="26"/>
  <c r="E123" i="26"/>
  <c r="D123" i="26"/>
  <c r="C123" i="26"/>
  <c r="K122" i="26"/>
  <c r="J122" i="26"/>
  <c r="I122" i="26"/>
  <c r="H122" i="26"/>
  <c r="A122" i="26" s="1"/>
  <c r="G122" i="26"/>
  <c r="F122" i="26"/>
  <c r="E122" i="26"/>
  <c r="D122" i="26"/>
  <c r="C122" i="26"/>
  <c r="K121" i="26"/>
  <c r="J121" i="26"/>
  <c r="I121" i="26"/>
  <c r="H121" i="26"/>
  <c r="A121" i="26" s="1"/>
  <c r="G121" i="26"/>
  <c r="F121" i="26"/>
  <c r="E121" i="26"/>
  <c r="D121" i="26"/>
  <c r="C121" i="26"/>
  <c r="K120" i="26"/>
  <c r="J120" i="26"/>
  <c r="I120" i="26"/>
  <c r="H120" i="26"/>
  <c r="A120" i="26" s="1"/>
  <c r="G120" i="26"/>
  <c r="F120" i="26"/>
  <c r="E120" i="26"/>
  <c r="D120" i="26"/>
  <c r="C120" i="26"/>
  <c r="K119" i="26"/>
  <c r="J119" i="26"/>
  <c r="I119" i="26"/>
  <c r="H119" i="26"/>
  <c r="A119" i="26" s="1"/>
  <c r="G119" i="26"/>
  <c r="F119" i="26"/>
  <c r="E119" i="26"/>
  <c r="D119" i="26"/>
  <c r="C119" i="26"/>
  <c r="K118" i="26"/>
  <c r="J118" i="26"/>
  <c r="I118" i="26"/>
  <c r="H118" i="26"/>
  <c r="A118" i="26" s="1"/>
  <c r="G118" i="26"/>
  <c r="F118" i="26"/>
  <c r="E118" i="26"/>
  <c r="D118" i="26"/>
  <c r="C118" i="26"/>
  <c r="K117" i="26"/>
  <c r="J117" i="26"/>
  <c r="I117" i="26"/>
  <c r="H117" i="26"/>
  <c r="A117" i="26" s="1"/>
  <c r="G117" i="26"/>
  <c r="F117" i="26"/>
  <c r="E117" i="26"/>
  <c r="D117" i="26"/>
  <c r="C117" i="26"/>
  <c r="K116" i="26"/>
  <c r="J116" i="26"/>
  <c r="I116" i="26"/>
  <c r="H116" i="26"/>
  <c r="A116" i="26" s="1"/>
  <c r="G116" i="26"/>
  <c r="F116" i="26"/>
  <c r="E116" i="26"/>
  <c r="D116" i="26"/>
  <c r="C116" i="26"/>
  <c r="K115" i="26"/>
  <c r="J115" i="26"/>
  <c r="I115" i="26"/>
  <c r="H115" i="26"/>
  <c r="A115" i="26" s="1"/>
  <c r="G115" i="26"/>
  <c r="F115" i="26"/>
  <c r="E115" i="26"/>
  <c r="D115" i="26"/>
  <c r="C115" i="26"/>
  <c r="K111" i="26"/>
  <c r="J111" i="26"/>
  <c r="I111" i="26"/>
  <c r="H111" i="26"/>
  <c r="A111" i="26" s="1"/>
  <c r="G111" i="26"/>
  <c r="F111" i="26"/>
  <c r="E111" i="26"/>
  <c r="D111" i="26"/>
  <c r="C111" i="26"/>
  <c r="K110" i="26"/>
  <c r="J110" i="26"/>
  <c r="I110" i="26"/>
  <c r="H110" i="26"/>
  <c r="A110" i="26" s="1"/>
  <c r="G110" i="26"/>
  <c r="F110" i="26"/>
  <c r="E110" i="26"/>
  <c r="D110" i="26"/>
  <c r="C110" i="26"/>
  <c r="K109" i="26"/>
  <c r="J109" i="26"/>
  <c r="I109" i="26"/>
  <c r="H109" i="26"/>
  <c r="A109" i="26" s="1"/>
  <c r="G109" i="26"/>
  <c r="F109" i="26"/>
  <c r="E109" i="26"/>
  <c r="D109" i="26"/>
  <c r="C109" i="26"/>
  <c r="K108" i="26"/>
  <c r="J108" i="26"/>
  <c r="I108" i="26"/>
  <c r="H108" i="26"/>
  <c r="A108" i="26" s="1"/>
  <c r="G108" i="26"/>
  <c r="F108" i="26"/>
  <c r="E108" i="26"/>
  <c r="D108" i="26"/>
  <c r="C108" i="26"/>
  <c r="K107" i="26"/>
  <c r="J107" i="26"/>
  <c r="I107" i="26"/>
  <c r="H107" i="26"/>
  <c r="A107" i="26" s="1"/>
  <c r="G107" i="26"/>
  <c r="F107" i="26"/>
  <c r="E107" i="26"/>
  <c r="D107" i="26"/>
  <c r="C107" i="26"/>
  <c r="K106" i="26"/>
  <c r="J106" i="26"/>
  <c r="I106" i="26"/>
  <c r="H106" i="26"/>
  <c r="A106" i="26" s="1"/>
  <c r="G106" i="26"/>
  <c r="F106" i="26"/>
  <c r="E106" i="26"/>
  <c r="D106" i="26"/>
  <c r="C106" i="26"/>
  <c r="K105" i="26"/>
  <c r="J105" i="26"/>
  <c r="I105" i="26"/>
  <c r="H105" i="26"/>
  <c r="A105" i="26" s="1"/>
  <c r="G105" i="26"/>
  <c r="F105" i="26"/>
  <c r="E105" i="26"/>
  <c r="D105" i="26"/>
  <c r="C105" i="26"/>
  <c r="K104" i="26"/>
  <c r="J104" i="26"/>
  <c r="I104" i="26"/>
  <c r="H104" i="26"/>
  <c r="A104" i="26" s="1"/>
  <c r="G104" i="26"/>
  <c r="F104" i="26"/>
  <c r="E104" i="26"/>
  <c r="D104" i="26"/>
  <c r="C104" i="26"/>
  <c r="K103" i="26"/>
  <c r="J103" i="26"/>
  <c r="I103" i="26"/>
  <c r="H103" i="26"/>
  <c r="A103" i="26" s="1"/>
  <c r="G103" i="26"/>
  <c r="F103" i="26"/>
  <c r="E103" i="26"/>
  <c r="D103" i="26"/>
  <c r="C103" i="26"/>
  <c r="K102" i="26"/>
  <c r="J102" i="26"/>
  <c r="I102" i="26"/>
  <c r="H102" i="26"/>
  <c r="A102" i="26" s="1"/>
  <c r="G102" i="26"/>
  <c r="F102" i="26"/>
  <c r="E102" i="26"/>
  <c r="D102" i="26"/>
  <c r="C102" i="26"/>
  <c r="K101" i="26"/>
  <c r="J101" i="26"/>
  <c r="I101" i="26"/>
  <c r="H101" i="26"/>
  <c r="A101" i="26" s="1"/>
  <c r="G101" i="26"/>
  <c r="F101" i="26"/>
  <c r="E101" i="26"/>
  <c r="D101" i="26"/>
  <c r="C101" i="26"/>
  <c r="K100" i="26"/>
  <c r="J100" i="26"/>
  <c r="I100" i="26"/>
  <c r="H100" i="26"/>
  <c r="A100" i="26" s="1"/>
  <c r="G100" i="26"/>
  <c r="F100" i="26"/>
  <c r="E100" i="26"/>
  <c r="D100" i="26"/>
  <c r="C100" i="26"/>
  <c r="K99" i="26"/>
  <c r="J99" i="26"/>
  <c r="I99" i="26"/>
  <c r="H99" i="26"/>
  <c r="A99" i="26" s="1"/>
  <c r="G99" i="26"/>
  <c r="F99" i="26"/>
  <c r="E99" i="26"/>
  <c r="D99" i="26"/>
  <c r="C99" i="26"/>
  <c r="K98" i="26"/>
  <c r="J98" i="26"/>
  <c r="I98" i="26"/>
  <c r="H98" i="26"/>
  <c r="A98" i="26" s="1"/>
  <c r="G98" i="26"/>
  <c r="F98" i="26"/>
  <c r="E98" i="26"/>
  <c r="D98" i="26"/>
  <c r="C98" i="26"/>
  <c r="K97" i="26"/>
  <c r="J97" i="26"/>
  <c r="I97" i="26"/>
  <c r="H97" i="26"/>
  <c r="A97" i="26" s="1"/>
  <c r="G97" i="26"/>
  <c r="F97" i="26"/>
  <c r="E97" i="26"/>
  <c r="D97" i="26"/>
  <c r="C97" i="26"/>
  <c r="K93" i="26"/>
  <c r="J93" i="26"/>
  <c r="I93" i="26"/>
  <c r="H93" i="26"/>
  <c r="A93" i="26" s="1"/>
  <c r="G93" i="26"/>
  <c r="F93" i="26"/>
  <c r="E93" i="26"/>
  <c r="D93" i="26"/>
  <c r="C93" i="26"/>
  <c r="K92" i="26"/>
  <c r="J92" i="26"/>
  <c r="I92" i="26"/>
  <c r="H92" i="26"/>
  <c r="A92" i="26" s="1"/>
  <c r="G92" i="26"/>
  <c r="F92" i="26"/>
  <c r="E92" i="26"/>
  <c r="D92" i="26"/>
  <c r="C92" i="26"/>
  <c r="K88" i="26"/>
  <c r="J88" i="26"/>
  <c r="I88" i="26"/>
  <c r="H88" i="26"/>
  <c r="A88" i="26" s="1"/>
  <c r="G88" i="26"/>
  <c r="F88" i="26"/>
  <c r="E88" i="26"/>
  <c r="D88" i="26"/>
  <c r="C88" i="26"/>
  <c r="K87" i="26"/>
  <c r="J87" i="26"/>
  <c r="I87" i="26"/>
  <c r="H87" i="26"/>
  <c r="A87" i="26" s="1"/>
  <c r="G87" i="26"/>
  <c r="F87" i="26"/>
  <c r="E87" i="26"/>
  <c r="D87" i="26"/>
  <c r="C87" i="26"/>
  <c r="K86" i="26"/>
  <c r="J86" i="26"/>
  <c r="I86" i="26"/>
  <c r="H86" i="26"/>
  <c r="A86" i="26" s="1"/>
  <c r="G86" i="26"/>
  <c r="F86" i="26"/>
  <c r="E86" i="26"/>
  <c r="D86" i="26"/>
  <c r="C86" i="26"/>
  <c r="K85" i="26"/>
  <c r="J85" i="26"/>
  <c r="I85" i="26"/>
  <c r="H85" i="26"/>
  <c r="A85" i="26" s="1"/>
  <c r="G85" i="26"/>
  <c r="F85" i="26"/>
  <c r="E85" i="26"/>
  <c r="D85" i="26"/>
  <c r="C85" i="26"/>
  <c r="K84" i="26"/>
  <c r="J84" i="26"/>
  <c r="I84" i="26"/>
  <c r="H84" i="26"/>
  <c r="A84" i="26" s="1"/>
  <c r="G84" i="26"/>
  <c r="F84" i="26"/>
  <c r="E84" i="26"/>
  <c r="D84" i="26"/>
  <c r="C84" i="26"/>
  <c r="K83" i="26"/>
  <c r="J83" i="26"/>
  <c r="I83" i="26"/>
  <c r="H83" i="26"/>
  <c r="A83" i="26" s="1"/>
  <c r="G83" i="26"/>
  <c r="F83" i="26"/>
  <c r="E83" i="26"/>
  <c r="D83" i="26"/>
  <c r="C83" i="26"/>
  <c r="K82" i="26"/>
  <c r="J82" i="26"/>
  <c r="I82" i="26"/>
  <c r="H82" i="26"/>
  <c r="A82" i="26" s="1"/>
  <c r="G82" i="26"/>
  <c r="F82" i="26"/>
  <c r="E82" i="26"/>
  <c r="D82" i="26"/>
  <c r="C82" i="26"/>
  <c r="K78" i="26"/>
  <c r="J78" i="26"/>
  <c r="I78" i="26"/>
  <c r="H78" i="26"/>
  <c r="A78" i="26" s="1"/>
  <c r="G78" i="26"/>
  <c r="F78" i="26"/>
  <c r="E78" i="26"/>
  <c r="D78" i="26"/>
  <c r="C78" i="26"/>
  <c r="K77" i="26"/>
  <c r="J77" i="26"/>
  <c r="I77" i="26"/>
  <c r="H77" i="26"/>
  <c r="A77" i="26" s="1"/>
  <c r="G77" i="26"/>
  <c r="F77" i="26"/>
  <c r="E77" i="26"/>
  <c r="D77" i="26"/>
  <c r="C77" i="26"/>
  <c r="K76" i="26"/>
  <c r="J76" i="26"/>
  <c r="I76" i="26"/>
  <c r="H76" i="26"/>
  <c r="A76" i="26" s="1"/>
  <c r="G76" i="26"/>
  <c r="F76" i="26"/>
  <c r="E76" i="26"/>
  <c r="D76" i="26"/>
  <c r="C76" i="26"/>
  <c r="K75" i="26"/>
  <c r="J75" i="26"/>
  <c r="I75" i="26"/>
  <c r="H75" i="26"/>
  <c r="A75" i="26" s="1"/>
  <c r="G75" i="26"/>
  <c r="F75" i="26"/>
  <c r="E75" i="26"/>
  <c r="D75" i="26"/>
  <c r="C75" i="26"/>
  <c r="K74" i="26"/>
  <c r="J74" i="26"/>
  <c r="I74" i="26"/>
  <c r="H74" i="26"/>
  <c r="A74" i="26" s="1"/>
  <c r="G74" i="26"/>
  <c r="F74" i="26"/>
  <c r="E74" i="26"/>
  <c r="D74" i="26"/>
  <c r="C74" i="26"/>
  <c r="K73" i="26"/>
  <c r="J73" i="26"/>
  <c r="I73" i="26"/>
  <c r="H73" i="26"/>
  <c r="A73" i="26" s="1"/>
  <c r="G73" i="26"/>
  <c r="F73" i="26"/>
  <c r="E73" i="26"/>
  <c r="D73" i="26"/>
  <c r="C73" i="26"/>
  <c r="K72" i="26"/>
  <c r="J72" i="26"/>
  <c r="I72" i="26"/>
  <c r="H72" i="26"/>
  <c r="A72" i="26" s="1"/>
  <c r="G72" i="26"/>
  <c r="F72" i="26"/>
  <c r="E72" i="26"/>
  <c r="D72" i="26"/>
  <c r="C72" i="26"/>
  <c r="K68" i="26"/>
  <c r="J68" i="26"/>
  <c r="I68" i="26"/>
  <c r="H68" i="26"/>
  <c r="A68" i="26" s="1"/>
  <c r="G68" i="26"/>
  <c r="F68" i="26"/>
  <c r="E68" i="26"/>
  <c r="D68" i="26"/>
  <c r="C68" i="26"/>
  <c r="K67" i="26"/>
  <c r="J67" i="26"/>
  <c r="I67" i="26"/>
  <c r="H67" i="26"/>
  <c r="A67" i="26" s="1"/>
  <c r="G67" i="26"/>
  <c r="F67" i="26"/>
  <c r="E67" i="26"/>
  <c r="D67" i="26"/>
  <c r="C67" i="26"/>
  <c r="K66" i="26"/>
  <c r="J66" i="26"/>
  <c r="I66" i="26"/>
  <c r="H66" i="26"/>
  <c r="A66" i="26" s="1"/>
  <c r="G66" i="26"/>
  <c r="F66" i="26"/>
  <c r="E66" i="26"/>
  <c r="D66" i="26"/>
  <c r="C66" i="26"/>
  <c r="K65" i="26"/>
  <c r="J65" i="26"/>
  <c r="I65" i="26"/>
  <c r="H65" i="26"/>
  <c r="A65" i="26" s="1"/>
  <c r="G65" i="26"/>
  <c r="F65" i="26"/>
  <c r="E65" i="26"/>
  <c r="D65" i="26"/>
  <c r="C65" i="26"/>
  <c r="K64" i="26"/>
  <c r="J64" i="26"/>
  <c r="I64" i="26"/>
  <c r="H64" i="26"/>
  <c r="A64" i="26" s="1"/>
  <c r="G64" i="26"/>
  <c r="F64" i="26"/>
  <c r="E64" i="26"/>
  <c r="D64" i="26"/>
  <c r="C64" i="26"/>
  <c r="K63" i="26"/>
  <c r="J63" i="26"/>
  <c r="I63" i="26"/>
  <c r="H63" i="26"/>
  <c r="A63" i="26" s="1"/>
  <c r="G63" i="26"/>
  <c r="F63" i="26"/>
  <c r="E63" i="26"/>
  <c r="D63" i="26"/>
  <c r="C63" i="26"/>
  <c r="K62" i="26"/>
  <c r="J62" i="26"/>
  <c r="I62" i="26"/>
  <c r="H62" i="26"/>
  <c r="A62" i="26" s="1"/>
  <c r="G62" i="26"/>
  <c r="F62" i="26"/>
  <c r="E62" i="26"/>
  <c r="D62" i="26"/>
  <c r="C62" i="26"/>
  <c r="K61" i="26"/>
  <c r="J61" i="26"/>
  <c r="I61" i="26"/>
  <c r="H61" i="26"/>
  <c r="A61" i="26" s="1"/>
  <c r="G61" i="26"/>
  <c r="F61" i="26"/>
  <c r="E61" i="26"/>
  <c r="D61" i="26"/>
  <c r="C61" i="26"/>
  <c r="J57" i="26"/>
  <c r="I57" i="26"/>
  <c r="H57" i="26"/>
  <c r="A57" i="26" s="1"/>
  <c r="G57" i="26"/>
  <c r="F57" i="26"/>
  <c r="E57" i="26"/>
  <c r="D57" i="26"/>
  <c r="C57" i="26"/>
  <c r="J56" i="26"/>
  <c r="I56" i="26"/>
  <c r="H56" i="26"/>
  <c r="A56" i="26" s="1"/>
  <c r="G56" i="26"/>
  <c r="F56" i="26"/>
  <c r="E56" i="26"/>
  <c r="D56" i="26"/>
  <c r="C56" i="26"/>
  <c r="J55" i="26"/>
  <c r="I55" i="26"/>
  <c r="H55" i="26"/>
  <c r="A55" i="26" s="1"/>
  <c r="G55" i="26"/>
  <c r="F55" i="26"/>
  <c r="E55" i="26"/>
  <c r="D55" i="26"/>
  <c r="C55" i="26"/>
  <c r="J54" i="26"/>
  <c r="I54" i="26"/>
  <c r="H54" i="26"/>
  <c r="A54" i="26" s="1"/>
  <c r="G54" i="26"/>
  <c r="F54" i="26"/>
  <c r="E54" i="26"/>
  <c r="D54" i="26"/>
  <c r="C54" i="26"/>
  <c r="J53" i="26"/>
  <c r="I53" i="26"/>
  <c r="H53" i="26"/>
  <c r="A53" i="26" s="1"/>
  <c r="G53" i="26"/>
  <c r="F53" i="26"/>
  <c r="E53" i="26"/>
  <c r="D53" i="26"/>
  <c r="C53" i="26"/>
  <c r="J52" i="26"/>
  <c r="I52" i="26"/>
  <c r="H52" i="26"/>
  <c r="A52" i="26" s="1"/>
  <c r="G52" i="26"/>
  <c r="F52" i="26"/>
  <c r="E52" i="26"/>
  <c r="D52" i="26"/>
  <c r="C52" i="26"/>
  <c r="J51" i="26"/>
  <c r="I51" i="26"/>
  <c r="H51" i="26"/>
  <c r="A51" i="26" s="1"/>
  <c r="G51" i="26"/>
  <c r="F51" i="26"/>
  <c r="E51" i="26"/>
  <c r="D51" i="26"/>
  <c r="C51" i="26"/>
  <c r="J50" i="26"/>
  <c r="I50" i="26"/>
  <c r="H50" i="26"/>
  <c r="A50" i="26" s="1"/>
  <c r="G50" i="26"/>
  <c r="F50" i="26"/>
  <c r="E50" i="26"/>
  <c r="D50" i="26"/>
  <c r="C50" i="26"/>
  <c r="J49" i="26"/>
  <c r="I49" i="26"/>
  <c r="H49" i="26"/>
  <c r="A49" i="26" s="1"/>
  <c r="G49" i="26"/>
  <c r="F49" i="26"/>
  <c r="E49" i="26"/>
  <c r="D49" i="26"/>
  <c r="C49" i="26"/>
  <c r="K48" i="26"/>
  <c r="J48" i="26"/>
  <c r="I48" i="26"/>
  <c r="H48" i="26"/>
  <c r="A48" i="26" s="1"/>
  <c r="G48" i="26"/>
  <c r="F48" i="26"/>
  <c r="E48" i="26"/>
  <c r="D48" i="26"/>
  <c r="C48" i="26"/>
  <c r="J44" i="26"/>
  <c r="I44" i="26"/>
  <c r="H44" i="26"/>
  <c r="A44" i="26" s="1"/>
  <c r="G44" i="26"/>
  <c r="F44" i="26"/>
  <c r="E44" i="26"/>
  <c r="D44" i="26"/>
  <c r="C44" i="26"/>
  <c r="J43" i="26"/>
  <c r="I43" i="26"/>
  <c r="H43" i="26"/>
  <c r="A43" i="26" s="1"/>
  <c r="G43" i="26"/>
  <c r="F43" i="26"/>
  <c r="E43" i="26"/>
  <c r="D43" i="26"/>
  <c r="C43" i="26"/>
  <c r="J42" i="26"/>
  <c r="I42" i="26"/>
  <c r="H42" i="26"/>
  <c r="A42" i="26" s="1"/>
  <c r="G42" i="26"/>
  <c r="F42" i="26"/>
  <c r="E42" i="26"/>
  <c r="D42" i="26"/>
  <c r="C42" i="26"/>
  <c r="J41" i="26"/>
  <c r="I41" i="26"/>
  <c r="H41" i="26"/>
  <c r="A41" i="26" s="1"/>
  <c r="G41" i="26"/>
  <c r="F41" i="26"/>
  <c r="E41" i="26"/>
  <c r="D41" i="26"/>
  <c r="C41" i="26"/>
  <c r="J40" i="26"/>
  <c r="I40" i="26"/>
  <c r="H40" i="26"/>
  <c r="A40" i="26" s="1"/>
  <c r="G40" i="26"/>
  <c r="F40" i="26"/>
  <c r="E40" i="26"/>
  <c r="D40" i="26"/>
  <c r="C40" i="26"/>
  <c r="J39" i="26"/>
  <c r="I39" i="26"/>
  <c r="H39" i="26"/>
  <c r="A39" i="26" s="1"/>
  <c r="G39" i="26"/>
  <c r="F39" i="26"/>
  <c r="E39" i="26"/>
  <c r="D39" i="26"/>
  <c r="C39" i="26"/>
  <c r="J38" i="26"/>
  <c r="I38" i="26"/>
  <c r="H38" i="26"/>
  <c r="A38" i="26" s="1"/>
  <c r="G38" i="26"/>
  <c r="F38" i="26"/>
  <c r="E38" i="26"/>
  <c r="D38" i="26"/>
  <c r="C38" i="26"/>
  <c r="K37" i="26"/>
  <c r="J37" i="26"/>
  <c r="I37" i="26"/>
  <c r="H37" i="26"/>
  <c r="A37" i="26" s="1"/>
  <c r="G37" i="26"/>
  <c r="F37" i="26"/>
  <c r="E37" i="26"/>
  <c r="D37" i="26"/>
  <c r="C37" i="26"/>
  <c r="J33" i="26"/>
  <c r="I33" i="26"/>
  <c r="H33" i="26"/>
  <c r="A33" i="26" s="1"/>
  <c r="G33" i="26"/>
  <c r="F33" i="26"/>
  <c r="E33" i="26"/>
  <c r="D33" i="26"/>
  <c r="C33" i="26"/>
  <c r="J32" i="26"/>
  <c r="I32" i="26"/>
  <c r="H32" i="26"/>
  <c r="A32" i="26" s="1"/>
  <c r="G32" i="26"/>
  <c r="F32" i="26"/>
  <c r="E32" i="26"/>
  <c r="D32" i="26"/>
  <c r="C32" i="26"/>
  <c r="J31" i="26"/>
  <c r="I31" i="26"/>
  <c r="H31" i="26"/>
  <c r="A31" i="26" s="1"/>
  <c r="G31" i="26"/>
  <c r="F31" i="26"/>
  <c r="E31" i="26"/>
  <c r="D31" i="26"/>
  <c r="C31" i="26"/>
  <c r="J30" i="26"/>
  <c r="I30" i="26"/>
  <c r="H30" i="26"/>
  <c r="A30" i="26" s="1"/>
  <c r="G30" i="26"/>
  <c r="F30" i="26"/>
  <c r="E30" i="26"/>
  <c r="D30" i="26"/>
  <c r="C30" i="26"/>
  <c r="J29" i="26"/>
  <c r="I29" i="26"/>
  <c r="H29" i="26"/>
  <c r="A29" i="26" s="1"/>
  <c r="G29" i="26"/>
  <c r="F29" i="26"/>
  <c r="E29" i="26"/>
  <c r="D29" i="26"/>
  <c r="C29" i="26"/>
  <c r="J28" i="26"/>
  <c r="I28" i="26"/>
  <c r="H28" i="26"/>
  <c r="A28" i="26" s="1"/>
  <c r="G28" i="26"/>
  <c r="F28" i="26"/>
  <c r="E28" i="26"/>
  <c r="D28" i="26"/>
  <c r="C28" i="26"/>
  <c r="J27" i="26"/>
  <c r="I27" i="26"/>
  <c r="H27" i="26"/>
  <c r="A27" i="26" s="1"/>
  <c r="G27" i="26"/>
  <c r="F27" i="26"/>
  <c r="E27" i="26"/>
  <c r="D27" i="26"/>
  <c r="C27" i="26"/>
  <c r="J26" i="26"/>
  <c r="I26" i="26"/>
  <c r="H26" i="26"/>
  <c r="A26" i="26" s="1"/>
  <c r="G26" i="26"/>
  <c r="F26" i="26"/>
  <c r="E26" i="26"/>
  <c r="D26" i="26"/>
  <c r="C26" i="26"/>
  <c r="J25" i="26"/>
  <c r="I25" i="26"/>
  <c r="H25" i="26"/>
  <c r="A25" i="26" s="1"/>
  <c r="G25" i="26"/>
  <c r="F25" i="26"/>
  <c r="E25" i="26"/>
  <c r="D25" i="26"/>
  <c r="C25" i="26"/>
  <c r="J24" i="26"/>
  <c r="I24" i="26"/>
  <c r="H24" i="26"/>
  <c r="A24" i="26" s="1"/>
  <c r="G24" i="26"/>
  <c r="F24" i="26"/>
  <c r="E24" i="26"/>
  <c r="D24" i="26"/>
  <c r="C24" i="26"/>
  <c r="J20" i="26"/>
  <c r="I20" i="26"/>
  <c r="H20" i="26"/>
  <c r="A20" i="26" s="1"/>
  <c r="G20" i="26"/>
  <c r="F20" i="26"/>
  <c r="E20" i="26"/>
  <c r="D20" i="26"/>
  <c r="C20" i="26"/>
  <c r="J19" i="26"/>
  <c r="I19" i="26"/>
  <c r="H19" i="26"/>
  <c r="A19" i="26" s="1"/>
  <c r="G19" i="26"/>
  <c r="F19" i="26"/>
  <c r="E19" i="26"/>
  <c r="D19" i="26"/>
  <c r="C19" i="26"/>
  <c r="J18" i="26"/>
  <c r="I18" i="26"/>
  <c r="H18" i="26"/>
  <c r="A18" i="26" s="1"/>
  <c r="G18" i="26"/>
  <c r="F18" i="26"/>
  <c r="E18" i="26"/>
  <c r="D18" i="26"/>
  <c r="C18" i="26"/>
  <c r="J17" i="26"/>
  <c r="I17" i="26"/>
  <c r="H17" i="26"/>
  <c r="A17" i="26" s="1"/>
  <c r="G17" i="26"/>
  <c r="F17" i="26"/>
  <c r="E17" i="26"/>
  <c r="D17" i="26"/>
  <c r="C17" i="26"/>
  <c r="J16" i="26"/>
  <c r="I16" i="26"/>
  <c r="H16" i="26"/>
  <c r="A16" i="26" s="1"/>
  <c r="G16" i="26"/>
  <c r="F16" i="26"/>
  <c r="E16" i="26"/>
  <c r="D16" i="26"/>
  <c r="C16" i="26"/>
  <c r="J15" i="26"/>
  <c r="I15" i="26"/>
  <c r="H15" i="26"/>
  <c r="A15" i="26" s="1"/>
  <c r="G15" i="26"/>
  <c r="F15" i="26"/>
  <c r="E15" i="26"/>
  <c r="D15" i="26"/>
  <c r="C15" i="26"/>
  <c r="J14" i="26"/>
  <c r="I14" i="26"/>
  <c r="H14" i="26"/>
  <c r="A14" i="26" s="1"/>
  <c r="G14" i="26"/>
  <c r="F14" i="26"/>
  <c r="E14" i="26"/>
  <c r="D14" i="26"/>
  <c r="C14" i="26"/>
  <c r="K13" i="26"/>
  <c r="J13" i="26"/>
  <c r="I13" i="26"/>
  <c r="H13" i="26"/>
  <c r="A13" i="26" s="1"/>
  <c r="F12" i="25" s="1"/>
  <c r="G13" i="26"/>
  <c r="F13" i="26"/>
  <c r="E13" i="26"/>
  <c r="D13" i="26"/>
  <c r="C13" i="26"/>
  <c r="K12" i="26"/>
  <c r="J12" i="26"/>
  <c r="I12" i="26"/>
  <c r="H12" i="26"/>
  <c r="G12" i="26"/>
  <c r="F12" i="26"/>
  <c r="E12" i="26"/>
  <c r="D12" i="26"/>
  <c r="A12" i="26"/>
  <c r="C12" i="26"/>
  <c r="B12" i="26"/>
  <c r="A51" i="6"/>
  <c r="B48" i="26" s="1"/>
  <c r="A49" i="6"/>
  <c r="B47" i="26" s="1"/>
  <c r="A13" i="6"/>
  <c r="B13" i="26" s="1"/>
  <c r="B18" i="8"/>
  <c r="B22" i="8"/>
  <c r="B25" i="8"/>
  <c r="B17" i="8"/>
  <c r="B9" i="8"/>
  <c r="B24" i="8"/>
  <c r="B23" i="8"/>
  <c r="B20" i="8"/>
  <c r="B30" i="8"/>
  <c r="B27" i="8"/>
  <c r="B35" i="8"/>
  <c r="B26" i="8"/>
  <c r="B19" i="8"/>
  <c r="B28" i="8"/>
  <c r="B29" i="8"/>
  <c r="B34" i="8"/>
  <c r="B21" i="8"/>
  <c r="B36" i="8"/>
  <c r="B32" i="8"/>
  <c r="B31" i="8"/>
  <c r="B33" i="8"/>
  <c r="B16" i="8"/>
  <c r="B14" i="8"/>
  <c r="B13" i="8"/>
  <c r="B15" i="8"/>
  <c r="B12" i="8"/>
  <c r="B11" i="8"/>
  <c r="B10" i="8"/>
  <c r="A35" i="6"/>
  <c r="B34" i="26" s="1"/>
  <c r="A36" i="6"/>
  <c r="B35" i="26" s="1"/>
  <c r="A37" i="6"/>
  <c r="B36" i="26" s="1"/>
  <c r="A437" i="6"/>
  <c r="B394" i="26" s="1"/>
  <c r="A438" i="6"/>
  <c r="A439" i="6"/>
  <c r="A440" i="6"/>
  <c r="B397" i="26" s="1"/>
  <c r="A441" i="6"/>
  <c r="A408" i="6"/>
  <c r="B379" i="26" s="1"/>
  <c r="A409" i="6"/>
  <c r="B380" i="26" s="1"/>
  <c r="A428" i="6"/>
  <c r="B385" i="26" s="1"/>
  <c r="A429" i="6"/>
  <c r="B386" i="26" s="1"/>
  <c r="A430" i="6"/>
  <c r="B387" i="26" s="1"/>
  <c r="A431" i="6"/>
  <c r="B388" i="26" s="1"/>
  <c r="A432" i="6"/>
  <c r="B389" i="26" s="1"/>
  <c r="A433" i="6"/>
  <c r="B390" i="26" s="1"/>
  <c r="A434" i="6"/>
  <c r="B391" i="26" s="1"/>
  <c r="A435" i="6"/>
  <c r="B392" i="26" s="1"/>
  <c r="A436" i="6"/>
  <c r="K14" i="7"/>
  <c r="K15" i="7"/>
  <c r="K16" i="7"/>
  <c r="K17" i="7"/>
  <c r="K18" i="7"/>
  <c r="K19" i="7"/>
  <c r="K20" i="7"/>
  <c r="K24" i="7"/>
  <c r="K25" i="7"/>
  <c r="K26" i="7"/>
  <c r="K27" i="7"/>
  <c r="K28" i="7"/>
  <c r="K29" i="7"/>
  <c r="K30" i="7"/>
  <c r="K31" i="7"/>
  <c r="K32" i="7"/>
  <c r="K33" i="7"/>
  <c r="K37" i="7"/>
  <c r="K38" i="7"/>
  <c r="K39" i="7"/>
  <c r="K40" i="7"/>
  <c r="K41" i="7"/>
  <c r="K42" i="7"/>
  <c r="K43" i="7"/>
  <c r="K44" i="7"/>
  <c r="K48" i="7"/>
  <c r="K49" i="7"/>
  <c r="K50" i="7"/>
  <c r="K51" i="7"/>
  <c r="K52" i="7"/>
  <c r="K53" i="7"/>
  <c r="K54" i="7"/>
  <c r="K55" i="7"/>
  <c r="K56" i="7"/>
  <c r="K57" i="7"/>
  <c r="K61" i="7"/>
  <c r="K62" i="7"/>
  <c r="K63" i="7"/>
  <c r="K64" i="7"/>
  <c r="K65" i="7"/>
  <c r="K66" i="7"/>
  <c r="K67" i="7"/>
  <c r="K68" i="7"/>
  <c r="K72" i="7"/>
  <c r="K73" i="7"/>
  <c r="K74" i="7"/>
  <c r="K75" i="7"/>
  <c r="K76" i="7"/>
  <c r="K77" i="7"/>
  <c r="K78" i="7"/>
  <c r="K82" i="7"/>
  <c r="K83" i="7"/>
  <c r="K84" i="7"/>
  <c r="K85" i="7"/>
  <c r="K86" i="7"/>
  <c r="K87" i="7"/>
  <c r="K88" i="7"/>
  <c r="K92" i="7"/>
  <c r="K93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31" i="7"/>
  <c r="K132" i="7"/>
  <c r="K133" i="7"/>
  <c r="K134" i="7"/>
  <c r="K135" i="7"/>
  <c r="K136" i="7"/>
  <c r="K137" i="7"/>
  <c r="K138" i="7"/>
  <c r="K142" i="7"/>
  <c r="K143" i="7"/>
  <c r="K144" i="7"/>
  <c r="K145" i="7"/>
  <c r="K146" i="7"/>
  <c r="K147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6" i="7"/>
  <c r="K177" i="7"/>
  <c r="K178" i="7"/>
  <c r="K179" i="7"/>
  <c r="K180" i="7"/>
  <c r="K184" i="7"/>
  <c r="K185" i="7"/>
  <c r="K186" i="7"/>
  <c r="K190" i="7"/>
  <c r="K194" i="7"/>
  <c r="K195" i="7"/>
  <c r="K196" i="7"/>
  <c r="K197" i="7"/>
  <c r="K198" i="7"/>
  <c r="K199" i="7"/>
  <c r="K203" i="7"/>
  <c r="K204" i="7"/>
  <c r="K205" i="7"/>
  <c r="K206" i="7"/>
  <c r="K207" i="7"/>
  <c r="K208" i="7"/>
  <c r="K209" i="7"/>
  <c r="K210" i="7"/>
  <c r="K211" i="7"/>
  <c r="K212" i="7"/>
  <c r="K213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7" i="7"/>
  <c r="K308" i="7"/>
  <c r="K309" i="7"/>
  <c r="K310" i="7"/>
  <c r="K311" i="7"/>
  <c r="K312" i="7"/>
  <c r="K313" i="7"/>
  <c r="K317" i="7"/>
  <c r="K318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8" i="7"/>
  <c r="K342" i="7"/>
  <c r="K343" i="7"/>
  <c r="K344" i="7"/>
  <c r="K345" i="7"/>
  <c r="K346" i="7"/>
  <c r="K347" i="7"/>
  <c r="K351" i="7"/>
  <c r="K352" i="7"/>
  <c r="K353" i="7"/>
  <c r="K354" i="7"/>
  <c r="K355" i="7"/>
  <c r="K356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7" i="7"/>
  <c r="K398" i="7"/>
  <c r="K399" i="7"/>
  <c r="K400" i="7"/>
  <c r="K401" i="7"/>
  <c r="K402" i="7"/>
  <c r="J14" i="7"/>
  <c r="J15" i="7"/>
  <c r="J16" i="7"/>
  <c r="J17" i="7"/>
  <c r="J18" i="7"/>
  <c r="J19" i="7"/>
  <c r="J20" i="7"/>
  <c r="J24" i="7"/>
  <c r="J25" i="7"/>
  <c r="J26" i="7"/>
  <c r="J27" i="7"/>
  <c r="J28" i="7"/>
  <c r="J29" i="7"/>
  <c r="J30" i="7"/>
  <c r="J31" i="7"/>
  <c r="J32" i="7"/>
  <c r="J33" i="7"/>
  <c r="J37" i="7"/>
  <c r="J38" i="7"/>
  <c r="J39" i="7"/>
  <c r="J40" i="7"/>
  <c r="J41" i="7"/>
  <c r="J42" i="7"/>
  <c r="J43" i="7"/>
  <c r="J44" i="7"/>
  <c r="J48" i="7"/>
  <c r="J49" i="7"/>
  <c r="J50" i="7"/>
  <c r="J51" i="7"/>
  <c r="J52" i="7"/>
  <c r="J53" i="7"/>
  <c r="J54" i="7"/>
  <c r="J55" i="7"/>
  <c r="J56" i="7"/>
  <c r="J57" i="7"/>
  <c r="J61" i="7"/>
  <c r="J62" i="7"/>
  <c r="J63" i="7"/>
  <c r="J64" i="7"/>
  <c r="J65" i="7"/>
  <c r="J66" i="7"/>
  <c r="J67" i="7"/>
  <c r="J68" i="7"/>
  <c r="J72" i="7"/>
  <c r="J73" i="7"/>
  <c r="J74" i="7"/>
  <c r="J75" i="7"/>
  <c r="J76" i="7"/>
  <c r="J77" i="7"/>
  <c r="J78" i="7"/>
  <c r="J82" i="7"/>
  <c r="J83" i="7"/>
  <c r="J84" i="7"/>
  <c r="J85" i="7"/>
  <c r="J86" i="7"/>
  <c r="J87" i="7"/>
  <c r="J88" i="7"/>
  <c r="J92" i="7"/>
  <c r="J93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31" i="7"/>
  <c r="J132" i="7"/>
  <c r="J133" i="7"/>
  <c r="J134" i="7"/>
  <c r="J135" i="7"/>
  <c r="J136" i="7"/>
  <c r="J137" i="7"/>
  <c r="J138" i="7"/>
  <c r="J142" i="7"/>
  <c r="J143" i="7"/>
  <c r="J144" i="7"/>
  <c r="J145" i="7"/>
  <c r="J146" i="7"/>
  <c r="J147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6" i="7"/>
  <c r="J177" i="7"/>
  <c r="J178" i="7"/>
  <c r="J179" i="7"/>
  <c r="J180" i="7"/>
  <c r="J184" i="7"/>
  <c r="J185" i="7"/>
  <c r="J186" i="7"/>
  <c r="J190" i="7"/>
  <c r="J194" i="7"/>
  <c r="J195" i="7"/>
  <c r="J196" i="7"/>
  <c r="J197" i="7"/>
  <c r="J198" i="7"/>
  <c r="J199" i="7"/>
  <c r="J203" i="7"/>
  <c r="J204" i="7"/>
  <c r="J205" i="7"/>
  <c r="J206" i="7"/>
  <c r="J207" i="7"/>
  <c r="J208" i="7"/>
  <c r="J209" i="7"/>
  <c r="J210" i="7"/>
  <c r="J211" i="7"/>
  <c r="J212" i="7"/>
  <c r="J213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7" i="7"/>
  <c r="J308" i="7"/>
  <c r="J309" i="7"/>
  <c r="J310" i="7"/>
  <c r="J311" i="7"/>
  <c r="J312" i="7"/>
  <c r="J313" i="7"/>
  <c r="J317" i="7"/>
  <c r="J318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8" i="7"/>
  <c r="J342" i="7"/>
  <c r="J343" i="7"/>
  <c r="J344" i="7"/>
  <c r="J345" i="7"/>
  <c r="J346" i="7"/>
  <c r="J347" i="7"/>
  <c r="J351" i="7"/>
  <c r="J352" i="7"/>
  <c r="J353" i="7"/>
  <c r="J354" i="7"/>
  <c r="J355" i="7"/>
  <c r="J356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7" i="7"/>
  <c r="J398" i="7"/>
  <c r="J399" i="7"/>
  <c r="J400" i="7"/>
  <c r="J401" i="7"/>
  <c r="J402" i="7"/>
  <c r="I14" i="7"/>
  <c r="I15" i="7"/>
  <c r="I16" i="7"/>
  <c r="I17" i="7"/>
  <c r="I18" i="7"/>
  <c r="I19" i="7"/>
  <c r="I20" i="7"/>
  <c r="I24" i="7"/>
  <c r="I25" i="7"/>
  <c r="I26" i="7"/>
  <c r="I27" i="7"/>
  <c r="I28" i="7"/>
  <c r="I29" i="7"/>
  <c r="I30" i="7"/>
  <c r="I31" i="7"/>
  <c r="I32" i="7"/>
  <c r="I33" i="7"/>
  <c r="I37" i="7"/>
  <c r="I38" i="7"/>
  <c r="I39" i="7"/>
  <c r="I40" i="7"/>
  <c r="I41" i="7"/>
  <c r="I42" i="7"/>
  <c r="I43" i="7"/>
  <c r="I44" i="7"/>
  <c r="I48" i="7"/>
  <c r="I49" i="7"/>
  <c r="I50" i="7"/>
  <c r="I51" i="7"/>
  <c r="I52" i="7"/>
  <c r="I53" i="7"/>
  <c r="I54" i="7"/>
  <c r="I55" i="7"/>
  <c r="I56" i="7"/>
  <c r="I57" i="7"/>
  <c r="I61" i="7"/>
  <c r="I62" i="7"/>
  <c r="I63" i="7"/>
  <c r="I64" i="7"/>
  <c r="I65" i="7"/>
  <c r="I66" i="7"/>
  <c r="I67" i="7"/>
  <c r="I68" i="7"/>
  <c r="I72" i="7"/>
  <c r="I73" i="7"/>
  <c r="I74" i="7"/>
  <c r="I75" i="7"/>
  <c r="I76" i="7"/>
  <c r="I77" i="7"/>
  <c r="I78" i="7"/>
  <c r="I82" i="7"/>
  <c r="I83" i="7"/>
  <c r="I84" i="7"/>
  <c r="I85" i="7"/>
  <c r="I86" i="7"/>
  <c r="I87" i="7"/>
  <c r="I88" i="7"/>
  <c r="I92" i="7"/>
  <c r="I93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31" i="7"/>
  <c r="I132" i="7"/>
  <c r="I133" i="7"/>
  <c r="I134" i="7"/>
  <c r="I135" i="7"/>
  <c r="I136" i="7"/>
  <c r="I137" i="7"/>
  <c r="I138" i="7"/>
  <c r="I142" i="7"/>
  <c r="I143" i="7"/>
  <c r="I144" i="7"/>
  <c r="I145" i="7"/>
  <c r="I146" i="7"/>
  <c r="I147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6" i="7"/>
  <c r="I177" i="7"/>
  <c r="I178" i="7"/>
  <c r="I179" i="7"/>
  <c r="I180" i="7"/>
  <c r="I184" i="7"/>
  <c r="I185" i="7"/>
  <c r="I186" i="7"/>
  <c r="I190" i="7"/>
  <c r="I194" i="7"/>
  <c r="I195" i="7"/>
  <c r="I196" i="7"/>
  <c r="I197" i="7"/>
  <c r="I198" i="7"/>
  <c r="I199" i="7"/>
  <c r="I203" i="7"/>
  <c r="I204" i="7"/>
  <c r="I205" i="7"/>
  <c r="I206" i="7"/>
  <c r="I207" i="7"/>
  <c r="I208" i="7"/>
  <c r="I209" i="7"/>
  <c r="I210" i="7"/>
  <c r="I211" i="7"/>
  <c r="I212" i="7"/>
  <c r="I213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7" i="7"/>
  <c r="I308" i="7"/>
  <c r="I309" i="7"/>
  <c r="I310" i="7"/>
  <c r="I311" i="7"/>
  <c r="I312" i="7"/>
  <c r="I313" i="7"/>
  <c r="I317" i="7"/>
  <c r="I318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8" i="7"/>
  <c r="I342" i="7"/>
  <c r="I343" i="7"/>
  <c r="I344" i="7"/>
  <c r="I345" i="7"/>
  <c r="I346" i="7"/>
  <c r="I347" i="7"/>
  <c r="I351" i="7"/>
  <c r="I352" i="7"/>
  <c r="I353" i="7"/>
  <c r="I354" i="7"/>
  <c r="I355" i="7"/>
  <c r="I356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7" i="7"/>
  <c r="I398" i="7"/>
  <c r="I399" i="7"/>
  <c r="I400" i="7"/>
  <c r="I401" i="7"/>
  <c r="I402" i="7"/>
  <c r="H14" i="7"/>
  <c r="H15" i="7"/>
  <c r="H16" i="7"/>
  <c r="H17" i="7"/>
  <c r="H18" i="7"/>
  <c r="H19" i="7"/>
  <c r="H20" i="7"/>
  <c r="H24" i="7"/>
  <c r="H25" i="7"/>
  <c r="H26" i="7"/>
  <c r="H27" i="7"/>
  <c r="H28" i="7"/>
  <c r="H29" i="7"/>
  <c r="H30" i="7"/>
  <c r="H31" i="7"/>
  <c r="H32" i="7"/>
  <c r="H33" i="7"/>
  <c r="H37" i="7"/>
  <c r="H38" i="7"/>
  <c r="H39" i="7"/>
  <c r="H40" i="7"/>
  <c r="H41" i="7"/>
  <c r="H42" i="7"/>
  <c r="H43" i="7"/>
  <c r="H44" i="7"/>
  <c r="H48" i="7"/>
  <c r="H49" i="7"/>
  <c r="H50" i="7"/>
  <c r="H51" i="7"/>
  <c r="H52" i="7"/>
  <c r="H53" i="7"/>
  <c r="H54" i="7"/>
  <c r="H55" i="7"/>
  <c r="H56" i="7"/>
  <c r="H57" i="7"/>
  <c r="H61" i="7"/>
  <c r="H62" i="7"/>
  <c r="H63" i="7"/>
  <c r="H64" i="7"/>
  <c r="H65" i="7"/>
  <c r="H66" i="7"/>
  <c r="H67" i="7"/>
  <c r="H68" i="7"/>
  <c r="H72" i="7"/>
  <c r="H73" i="7"/>
  <c r="H74" i="7"/>
  <c r="H75" i="7"/>
  <c r="H76" i="7"/>
  <c r="H77" i="7"/>
  <c r="H78" i="7"/>
  <c r="H82" i="7"/>
  <c r="H83" i="7"/>
  <c r="H84" i="7"/>
  <c r="H85" i="7"/>
  <c r="H86" i="7"/>
  <c r="H87" i="7"/>
  <c r="H88" i="7"/>
  <c r="H92" i="7"/>
  <c r="H93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31" i="7"/>
  <c r="H132" i="7"/>
  <c r="H133" i="7"/>
  <c r="H134" i="7"/>
  <c r="H135" i="7"/>
  <c r="H136" i="7"/>
  <c r="H137" i="7"/>
  <c r="H138" i="7"/>
  <c r="H142" i="7"/>
  <c r="H143" i="7"/>
  <c r="H144" i="7"/>
  <c r="H145" i="7"/>
  <c r="H146" i="7"/>
  <c r="H147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6" i="7"/>
  <c r="H177" i="7"/>
  <c r="H178" i="7"/>
  <c r="H179" i="7"/>
  <c r="H180" i="7"/>
  <c r="H184" i="7"/>
  <c r="H185" i="7"/>
  <c r="H186" i="7"/>
  <c r="H190" i="7"/>
  <c r="H194" i="7"/>
  <c r="H195" i="7"/>
  <c r="H196" i="7"/>
  <c r="H197" i="7"/>
  <c r="H198" i="7"/>
  <c r="H199" i="7"/>
  <c r="H203" i="7"/>
  <c r="H204" i="7"/>
  <c r="H205" i="7"/>
  <c r="H206" i="7"/>
  <c r="H207" i="7"/>
  <c r="H208" i="7"/>
  <c r="H209" i="7"/>
  <c r="H210" i="7"/>
  <c r="H211" i="7"/>
  <c r="H212" i="7"/>
  <c r="H213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7" i="7"/>
  <c r="H308" i="7"/>
  <c r="H309" i="7"/>
  <c r="H310" i="7"/>
  <c r="H311" i="7"/>
  <c r="H312" i="7"/>
  <c r="H313" i="7"/>
  <c r="H317" i="7"/>
  <c r="H318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8" i="7"/>
  <c r="H342" i="7"/>
  <c r="H343" i="7"/>
  <c r="H344" i="7"/>
  <c r="H345" i="7"/>
  <c r="H346" i="7"/>
  <c r="H347" i="7"/>
  <c r="H351" i="7"/>
  <c r="H352" i="7"/>
  <c r="H353" i="7"/>
  <c r="H354" i="7"/>
  <c r="H355" i="7"/>
  <c r="H356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7" i="7"/>
  <c r="H398" i="7"/>
  <c r="H399" i="7"/>
  <c r="H400" i="7"/>
  <c r="H401" i="7"/>
  <c r="H402" i="7"/>
  <c r="G14" i="7"/>
  <c r="G15" i="7"/>
  <c r="G16" i="7"/>
  <c r="G17" i="7"/>
  <c r="G18" i="7"/>
  <c r="G19" i="7"/>
  <c r="G20" i="7"/>
  <c r="G24" i="7"/>
  <c r="G25" i="7"/>
  <c r="G26" i="7"/>
  <c r="G27" i="7"/>
  <c r="G28" i="7"/>
  <c r="G29" i="7"/>
  <c r="G30" i="7"/>
  <c r="G31" i="7"/>
  <c r="G32" i="7"/>
  <c r="G33" i="7"/>
  <c r="G37" i="7"/>
  <c r="G38" i="7"/>
  <c r="G39" i="7"/>
  <c r="G40" i="7"/>
  <c r="G41" i="7"/>
  <c r="G42" i="7"/>
  <c r="G43" i="7"/>
  <c r="G44" i="7"/>
  <c r="G48" i="7"/>
  <c r="G49" i="7"/>
  <c r="G50" i="7"/>
  <c r="G51" i="7"/>
  <c r="G52" i="7"/>
  <c r="G53" i="7"/>
  <c r="G54" i="7"/>
  <c r="G55" i="7"/>
  <c r="G56" i="7"/>
  <c r="G57" i="7"/>
  <c r="G61" i="7"/>
  <c r="G62" i="7"/>
  <c r="G63" i="7"/>
  <c r="G64" i="7"/>
  <c r="G65" i="7"/>
  <c r="G66" i="7"/>
  <c r="G67" i="7"/>
  <c r="G68" i="7"/>
  <c r="G72" i="7"/>
  <c r="G73" i="7"/>
  <c r="G74" i="7"/>
  <c r="G75" i="7"/>
  <c r="G76" i="7"/>
  <c r="G77" i="7"/>
  <c r="G78" i="7"/>
  <c r="G82" i="7"/>
  <c r="G83" i="7"/>
  <c r="G84" i="7"/>
  <c r="G85" i="7"/>
  <c r="G86" i="7"/>
  <c r="G87" i="7"/>
  <c r="G88" i="7"/>
  <c r="G92" i="7"/>
  <c r="G93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31" i="7"/>
  <c r="G132" i="7"/>
  <c r="G133" i="7"/>
  <c r="G134" i="7"/>
  <c r="G135" i="7"/>
  <c r="G136" i="7"/>
  <c r="G137" i="7"/>
  <c r="G138" i="7"/>
  <c r="G142" i="7"/>
  <c r="G143" i="7"/>
  <c r="G144" i="7"/>
  <c r="G145" i="7"/>
  <c r="G146" i="7"/>
  <c r="G147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6" i="7"/>
  <c r="G177" i="7"/>
  <c r="G178" i="7"/>
  <c r="G179" i="7"/>
  <c r="G180" i="7"/>
  <c r="G184" i="7"/>
  <c r="G185" i="7"/>
  <c r="G186" i="7"/>
  <c r="G190" i="7"/>
  <c r="G194" i="7"/>
  <c r="G195" i="7"/>
  <c r="G196" i="7"/>
  <c r="G197" i="7"/>
  <c r="G198" i="7"/>
  <c r="G199" i="7"/>
  <c r="G203" i="7"/>
  <c r="G204" i="7"/>
  <c r="G205" i="7"/>
  <c r="G206" i="7"/>
  <c r="G207" i="7"/>
  <c r="G208" i="7"/>
  <c r="G209" i="7"/>
  <c r="G210" i="7"/>
  <c r="G211" i="7"/>
  <c r="G212" i="7"/>
  <c r="G213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7" i="7"/>
  <c r="G308" i="7"/>
  <c r="G309" i="7"/>
  <c r="G310" i="7"/>
  <c r="G311" i="7"/>
  <c r="G312" i="7"/>
  <c r="G313" i="7"/>
  <c r="G317" i="7"/>
  <c r="G318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8" i="7"/>
  <c r="G342" i="7"/>
  <c r="G343" i="7"/>
  <c r="G344" i="7"/>
  <c r="G345" i="7"/>
  <c r="G346" i="7"/>
  <c r="G347" i="7"/>
  <c r="G351" i="7"/>
  <c r="G352" i="7"/>
  <c r="G353" i="7"/>
  <c r="G354" i="7"/>
  <c r="G355" i="7"/>
  <c r="G356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7" i="7"/>
  <c r="G398" i="7"/>
  <c r="G399" i="7"/>
  <c r="G400" i="7"/>
  <c r="G401" i="7"/>
  <c r="G402" i="7"/>
  <c r="F14" i="7"/>
  <c r="F15" i="7"/>
  <c r="F16" i="7"/>
  <c r="F17" i="7"/>
  <c r="F18" i="7"/>
  <c r="F19" i="7"/>
  <c r="F20" i="7"/>
  <c r="F24" i="7"/>
  <c r="F25" i="7"/>
  <c r="F26" i="7"/>
  <c r="F27" i="7"/>
  <c r="F28" i="7"/>
  <c r="F29" i="7"/>
  <c r="F30" i="7"/>
  <c r="F31" i="7"/>
  <c r="F32" i="7"/>
  <c r="F33" i="7"/>
  <c r="F37" i="7"/>
  <c r="F38" i="7"/>
  <c r="F39" i="7"/>
  <c r="F40" i="7"/>
  <c r="F41" i="7"/>
  <c r="F42" i="7"/>
  <c r="F43" i="7"/>
  <c r="F44" i="7"/>
  <c r="F48" i="7"/>
  <c r="F49" i="7"/>
  <c r="F50" i="7"/>
  <c r="F51" i="7"/>
  <c r="F52" i="7"/>
  <c r="F53" i="7"/>
  <c r="F54" i="7"/>
  <c r="F55" i="7"/>
  <c r="F56" i="7"/>
  <c r="F57" i="7"/>
  <c r="F61" i="7"/>
  <c r="F62" i="7"/>
  <c r="F63" i="7"/>
  <c r="F64" i="7"/>
  <c r="F65" i="7"/>
  <c r="F66" i="7"/>
  <c r="F67" i="7"/>
  <c r="F68" i="7"/>
  <c r="F72" i="7"/>
  <c r="F73" i="7"/>
  <c r="F74" i="7"/>
  <c r="F75" i="7"/>
  <c r="F76" i="7"/>
  <c r="F77" i="7"/>
  <c r="F78" i="7"/>
  <c r="F82" i="7"/>
  <c r="F83" i="7"/>
  <c r="F84" i="7"/>
  <c r="F85" i="7"/>
  <c r="F86" i="7"/>
  <c r="F87" i="7"/>
  <c r="F88" i="7"/>
  <c r="F92" i="7"/>
  <c r="F93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31" i="7"/>
  <c r="F132" i="7"/>
  <c r="F133" i="7"/>
  <c r="F134" i="7"/>
  <c r="F135" i="7"/>
  <c r="F136" i="7"/>
  <c r="F137" i="7"/>
  <c r="F138" i="7"/>
  <c r="F142" i="7"/>
  <c r="F143" i="7"/>
  <c r="F144" i="7"/>
  <c r="F145" i="7"/>
  <c r="F146" i="7"/>
  <c r="F147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6" i="7"/>
  <c r="F177" i="7"/>
  <c r="F178" i="7"/>
  <c r="F179" i="7"/>
  <c r="F180" i="7"/>
  <c r="F184" i="7"/>
  <c r="F185" i="7"/>
  <c r="F186" i="7"/>
  <c r="F190" i="7"/>
  <c r="F194" i="7"/>
  <c r="F195" i="7"/>
  <c r="F196" i="7"/>
  <c r="F197" i="7"/>
  <c r="F198" i="7"/>
  <c r="F199" i="7"/>
  <c r="F203" i="7"/>
  <c r="F204" i="7"/>
  <c r="F205" i="7"/>
  <c r="F206" i="7"/>
  <c r="F207" i="7"/>
  <c r="F208" i="7"/>
  <c r="F209" i="7"/>
  <c r="F210" i="7"/>
  <c r="F211" i="7"/>
  <c r="F212" i="7"/>
  <c r="F213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7" i="7"/>
  <c r="F308" i="7"/>
  <c r="F309" i="7"/>
  <c r="F310" i="7"/>
  <c r="F311" i="7"/>
  <c r="F312" i="7"/>
  <c r="F313" i="7"/>
  <c r="F317" i="7"/>
  <c r="F318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8" i="7"/>
  <c r="F342" i="7"/>
  <c r="F343" i="7"/>
  <c r="F344" i="7"/>
  <c r="F345" i="7"/>
  <c r="F346" i="7"/>
  <c r="F347" i="7"/>
  <c r="F351" i="7"/>
  <c r="F352" i="7"/>
  <c r="F353" i="7"/>
  <c r="F354" i="7"/>
  <c r="F355" i="7"/>
  <c r="F356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7" i="7"/>
  <c r="F398" i="7"/>
  <c r="F399" i="7"/>
  <c r="F400" i="7"/>
  <c r="F401" i="7"/>
  <c r="F402" i="7"/>
  <c r="E14" i="7"/>
  <c r="E15" i="7"/>
  <c r="E16" i="7"/>
  <c r="E17" i="7"/>
  <c r="E18" i="7"/>
  <c r="E19" i="7"/>
  <c r="E20" i="7"/>
  <c r="E24" i="7"/>
  <c r="E25" i="7"/>
  <c r="E26" i="7"/>
  <c r="E27" i="7"/>
  <c r="E28" i="7"/>
  <c r="E29" i="7"/>
  <c r="E30" i="7"/>
  <c r="E31" i="7"/>
  <c r="E32" i="7"/>
  <c r="E33" i="7"/>
  <c r="E37" i="7"/>
  <c r="E38" i="7"/>
  <c r="E39" i="7"/>
  <c r="E40" i="7"/>
  <c r="E41" i="7"/>
  <c r="E42" i="7"/>
  <c r="E43" i="7"/>
  <c r="E44" i="7"/>
  <c r="E48" i="7"/>
  <c r="E49" i="7"/>
  <c r="E50" i="7"/>
  <c r="E51" i="7"/>
  <c r="E52" i="7"/>
  <c r="E53" i="7"/>
  <c r="E54" i="7"/>
  <c r="E55" i="7"/>
  <c r="E56" i="7"/>
  <c r="E57" i="7"/>
  <c r="E61" i="7"/>
  <c r="E62" i="7"/>
  <c r="E63" i="7"/>
  <c r="E64" i="7"/>
  <c r="E65" i="7"/>
  <c r="E66" i="7"/>
  <c r="E67" i="7"/>
  <c r="E68" i="7"/>
  <c r="E72" i="7"/>
  <c r="E73" i="7"/>
  <c r="E74" i="7"/>
  <c r="E75" i="7"/>
  <c r="E76" i="7"/>
  <c r="E77" i="7"/>
  <c r="E78" i="7"/>
  <c r="E82" i="7"/>
  <c r="E83" i="7"/>
  <c r="E84" i="7"/>
  <c r="E85" i="7"/>
  <c r="E86" i="7"/>
  <c r="E87" i="7"/>
  <c r="E88" i="7"/>
  <c r="E92" i="7"/>
  <c r="E93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31" i="7"/>
  <c r="E132" i="7"/>
  <c r="E133" i="7"/>
  <c r="E134" i="7"/>
  <c r="E135" i="7"/>
  <c r="E136" i="7"/>
  <c r="E137" i="7"/>
  <c r="E138" i="7"/>
  <c r="E142" i="7"/>
  <c r="E143" i="7"/>
  <c r="E144" i="7"/>
  <c r="E145" i="7"/>
  <c r="E146" i="7"/>
  <c r="E147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6" i="7"/>
  <c r="E177" i="7"/>
  <c r="E178" i="7"/>
  <c r="E179" i="7"/>
  <c r="E180" i="7"/>
  <c r="E184" i="7"/>
  <c r="E185" i="7"/>
  <c r="E186" i="7"/>
  <c r="E190" i="7"/>
  <c r="E194" i="7"/>
  <c r="E195" i="7"/>
  <c r="E196" i="7"/>
  <c r="E197" i="7"/>
  <c r="E198" i="7"/>
  <c r="E199" i="7"/>
  <c r="E203" i="7"/>
  <c r="E204" i="7"/>
  <c r="E205" i="7"/>
  <c r="E206" i="7"/>
  <c r="E207" i="7"/>
  <c r="E208" i="7"/>
  <c r="E209" i="7"/>
  <c r="E210" i="7"/>
  <c r="E211" i="7"/>
  <c r="E212" i="7"/>
  <c r="E213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7" i="7"/>
  <c r="E308" i="7"/>
  <c r="E309" i="7"/>
  <c r="E310" i="7"/>
  <c r="E311" i="7"/>
  <c r="E312" i="7"/>
  <c r="E313" i="7"/>
  <c r="E317" i="7"/>
  <c r="E318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8" i="7"/>
  <c r="E342" i="7"/>
  <c r="E343" i="7"/>
  <c r="E344" i="7"/>
  <c r="E345" i="7"/>
  <c r="E346" i="7"/>
  <c r="E347" i="7"/>
  <c r="E351" i="7"/>
  <c r="E352" i="7"/>
  <c r="E353" i="7"/>
  <c r="E354" i="7"/>
  <c r="E355" i="7"/>
  <c r="E356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7" i="7"/>
  <c r="E398" i="7"/>
  <c r="E399" i="7"/>
  <c r="E400" i="7"/>
  <c r="E401" i="7"/>
  <c r="E402" i="7"/>
  <c r="D14" i="7"/>
  <c r="D15" i="7"/>
  <c r="D16" i="7"/>
  <c r="D17" i="7"/>
  <c r="D18" i="7"/>
  <c r="D19" i="7"/>
  <c r="D20" i="7"/>
  <c r="D24" i="7"/>
  <c r="D25" i="7"/>
  <c r="D26" i="7"/>
  <c r="D27" i="7"/>
  <c r="D28" i="7"/>
  <c r="D29" i="7"/>
  <c r="D30" i="7"/>
  <c r="D31" i="7"/>
  <c r="D32" i="7"/>
  <c r="D33" i="7"/>
  <c r="D37" i="7"/>
  <c r="D38" i="7"/>
  <c r="D39" i="7"/>
  <c r="D40" i="7"/>
  <c r="D41" i="7"/>
  <c r="D42" i="7"/>
  <c r="D43" i="7"/>
  <c r="D44" i="7"/>
  <c r="D48" i="7"/>
  <c r="D49" i="7"/>
  <c r="D50" i="7"/>
  <c r="D51" i="7"/>
  <c r="D52" i="7"/>
  <c r="D53" i="7"/>
  <c r="D54" i="7"/>
  <c r="D55" i="7"/>
  <c r="D56" i="7"/>
  <c r="D57" i="7"/>
  <c r="D61" i="7"/>
  <c r="D62" i="7"/>
  <c r="D63" i="7"/>
  <c r="D64" i="7"/>
  <c r="D65" i="7"/>
  <c r="D66" i="7"/>
  <c r="D67" i="7"/>
  <c r="D68" i="7"/>
  <c r="D72" i="7"/>
  <c r="D73" i="7"/>
  <c r="D74" i="7"/>
  <c r="D75" i="7"/>
  <c r="D76" i="7"/>
  <c r="D77" i="7"/>
  <c r="D78" i="7"/>
  <c r="D82" i="7"/>
  <c r="D83" i="7"/>
  <c r="D84" i="7"/>
  <c r="D85" i="7"/>
  <c r="D86" i="7"/>
  <c r="D87" i="7"/>
  <c r="D88" i="7"/>
  <c r="D92" i="7"/>
  <c r="D93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31" i="7"/>
  <c r="D132" i="7"/>
  <c r="D133" i="7"/>
  <c r="D134" i="7"/>
  <c r="D135" i="7"/>
  <c r="D136" i="7"/>
  <c r="D137" i="7"/>
  <c r="D138" i="7"/>
  <c r="D142" i="7"/>
  <c r="D143" i="7"/>
  <c r="D144" i="7"/>
  <c r="D145" i="7"/>
  <c r="D146" i="7"/>
  <c r="D147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6" i="7"/>
  <c r="D177" i="7"/>
  <c r="D178" i="7"/>
  <c r="D179" i="7"/>
  <c r="D180" i="7"/>
  <c r="D184" i="7"/>
  <c r="D185" i="7"/>
  <c r="D186" i="7"/>
  <c r="D190" i="7"/>
  <c r="D194" i="7"/>
  <c r="D195" i="7"/>
  <c r="D196" i="7"/>
  <c r="D197" i="7"/>
  <c r="D198" i="7"/>
  <c r="D199" i="7"/>
  <c r="D203" i="7"/>
  <c r="D204" i="7"/>
  <c r="D205" i="7"/>
  <c r="D206" i="7"/>
  <c r="D207" i="7"/>
  <c r="D208" i="7"/>
  <c r="D209" i="7"/>
  <c r="D210" i="7"/>
  <c r="D211" i="7"/>
  <c r="D212" i="7"/>
  <c r="D213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7" i="7"/>
  <c r="D308" i="7"/>
  <c r="D309" i="7"/>
  <c r="D310" i="7"/>
  <c r="D311" i="7"/>
  <c r="D312" i="7"/>
  <c r="D313" i="7"/>
  <c r="D317" i="7"/>
  <c r="D318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8" i="7"/>
  <c r="D342" i="7"/>
  <c r="D343" i="7"/>
  <c r="D344" i="7"/>
  <c r="D345" i="7"/>
  <c r="D346" i="7"/>
  <c r="D347" i="7"/>
  <c r="D351" i="7"/>
  <c r="D352" i="7"/>
  <c r="D353" i="7"/>
  <c r="D354" i="7"/>
  <c r="D355" i="7"/>
  <c r="D356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7" i="7"/>
  <c r="D398" i="7"/>
  <c r="D399" i="7"/>
  <c r="D400" i="7"/>
  <c r="D401" i="7"/>
  <c r="D402" i="7"/>
  <c r="C14" i="7"/>
  <c r="C15" i="7"/>
  <c r="C16" i="7"/>
  <c r="C17" i="7"/>
  <c r="C18" i="7"/>
  <c r="C19" i="7"/>
  <c r="C20" i="7"/>
  <c r="C24" i="7"/>
  <c r="C25" i="7"/>
  <c r="C26" i="7"/>
  <c r="C27" i="7"/>
  <c r="C28" i="7"/>
  <c r="C29" i="7"/>
  <c r="C30" i="7"/>
  <c r="C31" i="7"/>
  <c r="C32" i="7"/>
  <c r="C33" i="7"/>
  <c r="C37" i="7"/>
  <c r="C38" i="7"/>
  <c r="C39" i="7"/>
  <c r="C40" i="7"/>
  <c r="C41" i="7"/>
  <c r="C42" i="7"/>
  <c r="C43" i="7"/>
  <c r="C44" i="7"/>
  <c r="C48" i="7"/>
  <c r="C49" i="7"/>
  <c r="C50" i="7"/>
  <c r="C51" i="7"/>
  <c r="C52" i="7"/>
  <c r="C53" i="7"/>
  <c r="C54" i="7"/>
  <c r="C55" i="7"/>
  <c r="C56" i="7"/>
  <c r="C57" i="7"/>
  <c r="C61" i="7"/>
  <c r="C62" i="7"/>
  <c r="C63" i="7"/>
  <c r="C64" i="7"/>
  <c r="C65" i="7"/>
  <c r="C66" i="7"/>
  <c r="C67" i="7"/>
  <c r="C68" i="7"/>
  <c r="C72" i="7"/>
  <c r="C73" i="7"/>
  <c r="C74" i="7"/>
  <c r="C75" i="7"/>
  <c r="C76" i="7"/>
  <c r="C77" i="7"/>
  <c r="C78" i="7"/>
  <c r="C82" i="7"/>
  <c r="C83" i="7"/>
  <c r="C84" i="7"/>
  <c r="C85" i="7"/>
  <c r="C86" i="7"/>
  <c r="C87" i="7"/>
  <c r="C88" i="7"/>
  <c r="C92" i="7"/>
  <c r="C93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31" i="7"/>
  <c r="C132" i="7"/>
  <c r="C133" i="7"/>
  <c r="C134" i="7"/>
  <c r="C135" i="7"/>
  <c r="C136" i="7"/>
  <c r="C137" i="7"/>
  <c r="C138" i="7"/>
  <c r="C142" i="7"/>
  <c r="C143" i="7"/>
  <c r="C144" i="7"/>
  <c r="C145" i="7"/>
  <c r="C146" i="7"/>
  <c r="C147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6" i="7"/>
  <c r="C177" i="7"/>
  <c r="C178" i="7"/>
  <c r="C179" i="7"/>
  <c r="C180" i="7"/>
  <c r="C184" i="7"/>
  <c r="C185" i="7"/>
  <c r="C186" i="7"/>
  <c r="C190" i="7"/>
  <c r="C194" i="7"/>
  <c r="C195" i="7"/>
  <c r="C196" i="7"/>
  <c r="C197" i="7"/>
  <c r="C198" i="7"/>
  <c r="C199" i="7"/>
  <c r="C203" i="7"/>
  <c r="C204" i="7"/>
  <c r="C205" i="7"/>
  <c r="C206" i="7"/>
  <c r="C207" i="7"/>
  <c r="C208" i="7"/>
  <c r="C209" i="7"/>
  <c r="C210" i="7"/>
  <c r="C211" i="7"/>
  <c r="C212" i="7"/>
  <c r="C213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7" i="7"/>
  <c r="C308" i="7"/>
  <c r="C309" i="7"/>
  <c r="C310" i="7"/>
  <c r="C311" i="7"/>
  <c r="C312" i="7"/>
  <c r="C313" i="7"/>
  <c r="C317" i="7"/>
  <c r="C318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8" i="7"/>
  <c r="C342" i="7"/>
  <c r="C343" i="7"/>
  <c r="C344" i="7"/>
  <c r="C345" i="7"/>
  <c r="C346" i="7"/>
  <c r="C347" i="7"/>
  <c r="C351" i="7"/>
  <c r="C352" i="7"/>
  <c r="C353" i="7"/>
  <c r="C354" i="7"/>
  <c r="C355" i="7"/>
  <c r="C356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7" i="7"/>
  <c r="C398" i="7"/>
  <c r="C399" i="7"/>
  <c r="C400" i="7"/>
  <c r="C401" i="7"/>
  <c r="C402" i="7"/>
  <c r="A380" i="7"/>
  <c r="A383" i="7"/>
  <c r="B402" i="7"/>
  <c r="B401" i="7"/>
  <c r="B400" i="7"/>
  <c r="B399" i="7"/>
  <c r="B398" i="7"/>
  <c r="B397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6" i="7"/>
  <c r="B355" i="7"/>
  <c r="B354" i="7"/>
  <c r="B353" i="7"/>
  <c r="B352" i="7"/>
  <c r="B351" i="7"/>
  <c r="B347" i="7"/>
  <c r="B346" i="7"/>
  <c r="B345" i="7"/>
  <c r="B344" i="7"/>
  <c r="B343" i="7"/>
  <c r="B342" i="7"/>
  <c r="B338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18" i="7"/>
  <c r="B317" i="7"/>
  <c r="B313" i="7"/>
  <c r="B312" i="7"/>
  <c r="B311" i="7"/>
  <c r="B310" i="7"/>
  <c r="B309" i="7"/>
  <c r="B308" i="7"/>
  <c r="B307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3" i="7"/>
  <c r="B212" i="7"/>
  <c r="B211" i="7"/>
  <c r="B210" i="7"/>
  <c r="B209" i="7"/>
  <c r="B208" i="7"/>
  <c r="B207" i="7"/>
  <c r="B206" i="7"/>
  <c r="B205" i="7"/>
  <c r="B204" i="7"/>
  <c r="B203" i="7"/>
  <c r="B199" i="7"/>
  <c r="B198" i="7"/>
  <c r="B197" i="7"/>
  <c r="B196" i="7"/>
  <c r="B195" i="7"/>
  <c r="B194" i="7"/>
  <c r="B190" i="7"/>
  <c r="B186" i="7"/>
  <c r="B185" i="7"/>
  <c r="B184" i="7"/>
  <c r="B180" i="7"/>
  <c r="B179" i="7"/>
  <c r="B178" i="7"/>
  <c r="B177" i="7"/>
  <c r="B176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47" i="7"/>
  <c r="B146" i="7"/>
  <c r="B145" i="7"/>
  <c r="B144" i="7"/>
  <c r="B143" i="7"/>
  <c r="B142" i="7"/>
  <c r="B138" i="7"/>
  <c r="B137" i="7"/>
  <c r="B136" i="7"/>
  <c r="B135" i="7"/>
  <c r="B134" i="7"/>
  <c r="B133" i="7"/>
  <c r="B132" i="7"/>
  <c r="B131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3" i="7"/>
  <c r="B92" i="7"/>
  <c r="B88" i="7"/>
  <c r="B87" i="7"/>
  <c r="B86" i="7"/>
  <c r="B85" i="7"/>
  <c r="B84" i="7"/>
  <c r="B83" i="7"/>
  <c r="B82" i="7"/>
  <c r="B78" i="7"/>
  <c r="B77" i="7"/>
  <c r="B76" i="7"/>
  <c r="B75" i="7"/>
  <c r="B74" i="7"/>
  <c r="B73" i="7"/>
  <c r="B72" i="7"/>
  <c r="B68" i="7"/>
  <c r="B67" i="7"/>
  <c r="B66" i="7"/>
  <c r="B65" i="7"/>
  <c r="B64" i="7"/>
  <c r="B63" i="7"/>
  <c r="B62" i="7"/>
  <c r="B61" i="7"/>
  <c r="B57" i="7"/>
  <c r="B56" i="7"/>
  <c r="B55" i="7"/>
  <c r="B54" i="7"/>
  <c r="B53" i="7"/>
  <c r="B52" i="7"/>
  <c r="B51" i="7"/>
  <c r="B50" i="7"/>
  <c r="B49" i="7"/>
  <c r="B48" i="7"/>
  <c r="B44" i="7"/>
  <c r="B43" i="7"/>
  <c r="B42" i="7"/>
  <c r="B41" i="7"/>
  <c r="B40" i="7"/>
  <c r="B39" i="7"/>
  <c r="B38" i="7"/>
  <c r="B37" i="7"/>
  <c r="B33" i="7"/>
  <c r="B32" i="7"/>
  <c r="B31" i="7"/>
  <c r="B30" i="7"/>
  <c r="B29" i="7"/>
  <c r="B28" i="7"/>
  <c r="B27" i="7"/>
  <c r="B26" i="7"/>
  <c r="B25" i="7"/>
  <c r="B24" i="7"/>
  <c r="B20" i="7"/>
  <c r="B19" i="7"/>
  <c r="B18" i="7"/>
  <c r="B17" i="7"/>
  <c r="B16" i="7"/>
  <c r="B15" i="7"/>
  <c r="B14" i="7"/>
  <c r="A370" i="7"/>
  <c r="K13" i="7"/>
  <c r="J13" i="7"/>
  <c r="I13" i="7"/>
  <c r="H13" i="7"/>
  <c r="G13" i="7"/>
  <c r="F13" i="7"/>
  <c r="E13" i="7"/>
  <c r="D13" i="7"/>
  <c r="C13" i="7"/>
  <c r="B13" i="7"/>
  <c r="K12" i="7"/>
  <c r="J12" i="7"/>
  <c r="I12" i="7"/>
  <c r="H12" i="7"/>
  <c r="G12" i="7"/>
  <c r="F12" i="7"/>
  <c r="E12" i="7"/>
  <c r="D12" i="7"/>
  <c r="C12" i="7"/>
  <c r="B12" i="7"/>
  <c r="A12" i="7"/>
  <c r="F14" i="9" l="1"/>
  <c r="F16" i="9"/>
  <c r="F22" i="9"/>
  <c r="A378" i="7"/>
  <c r="A381" i="7"/>
  <c r="A409" i="7"/>
  <c r="A411" i="7"/>
  <c r="A384" i="7"/>
  <c r="A377" i="7"/>
  <c r="A376" i="7"/>
  <c r="A386" i="7"/>
  <c r="A404" i="7"/>
  <c r="A406" i="7"/>
  <c r="A403" i="7"/>
  <c r="A385" i="7"/>
  <c r="A389" i="7"/>
  <c r="A388" i="7"/>
  <c r="A387" i="7"/>
  <c r="A382" i="7"/>
  <c r="A379" i="7"/>
  <c r="A397" i="7"/>
  <c r="F18" i="9" s="1"/>
  <c r="F22" i="25"/>
  <c r="A391" i="7"/>
  <c r="A399" i="7"/>
  <c r="A395" i="7"/>
  <c r="A22" i="7"/>
  <c r="A21" i="7"/>
  <c r="A23" i="7"/>
  <c r="K377" i="7"/>
  <c r="A398" i="7"/>
  <c r="A390" i="7"/>
  <c r="B393" i="26"/>
  <c r="A402" i="7"/>
  <c r="A394" i="7"/>
  <c r="A401" i="7"/>
  <c r="A393" i="7"/>
  <c r="B396" i="26"/>
  <c r="A400" i="7"/>
  <c r="A392" i="7"/>
  <c r="B395" i="26"/>
  <c r="B18" i="25"/>
  <c r="B20" i="25"/>
  <c r="F14" i="25"/>
  <c r="F16" i="25"/>
  <c r="F18" i="25"/>
  <c r="F20" i="25"/>
  <c r="B16" i="25"/>
  <c r="A25" i="25"/>
  <c r="C38" i="8"/>
  <c r="A384" i="6"/>
  <c r="A379" i="6"/>
  <c r="A380" i="6"/>
  <c r="A381" i="6"/>
  <c r="A373" i="6"/>
  <c r="A375" i="6"/>
  <c r="A355" i="6"/>
  <c r="A356" i="6"/>
  <c r="A357" i="6"/>
  <c r="B336" i="26" s="1"/>
  <c r="A339" i="6"/>
  <c r="A340" i="6"/>
  <c r="A341" i="6"/>
  <c r="B321" i="26" s="1"/>
  <c r="A333" i="6"/>
  <c r="A334" i="6"/>
  <c r="A335" i="6"/>
  <c r="B316" i="26" s="1"/>
  <c r="A322" i="6"/>
  <c r="A323" i="6"/>
  <c r="A324" i="6"/>
  <c r="B306" i="26" s="1"/>
  <c r="A231" i="6"/>
  <c r="A232" i="6"/>
  <c r="A233" i="6"/>
  <c r="B216" i="26" s="1"/>
  <c r="A216" i="6"/>
  <c r="A217" i="6"/>
  <c r="A218" i="6"/>
  <c r="B202" i="26" s="1"/>
  <c r="A206" i="6"/>
  <c r="A207" i="6"/>
  <c r="A208" i="6"/>
  <c r="B193" i="26" s="1"/>
  <c r="A201" i="6"/>
  <c r="A202" i="6"/>
  <c r="A194" i="6"/>
  <c r="A185" i="6"/>
  <c r="A186" i="6"/>
  <c r="A187" i="6"/>
  <c r="B175" i="26" s="1"/>
  <c r="A159" i="6"/>
  <c r="A160" i="6"/>
  <c r="A149" i="6"/>
  <c r="A150" i="6"/>
  <c r="A151" i="6"/>
  <c r="B141" i="26" s="1"/>
  <c r="A120" i="6"/>
  <c r="A121" i="6"/>
  <c r="A122" i="6"/>
  <c r="B114" i="26" s="1"/>
  <c r="A101" i="6"/>
  <c r="A102" i="6"/>
  <c r="A103" i="6"/>
  <c r="B96" i="26" s="1"/>
  <c r="A95" i="6"/>
  <c r="A84" i="6"/>
  <c r="A85" i="6"/>
  <c r="A73" i="6"/>
  <c r="A61" i="6"/>
  <c r="A36" i="7"/>
  <c r="A407" i="6"/>
  <c r="A406" i="6"/>
  <c r="A405" i="6"/>
  <c r="A403" i="6"/>
  <c r="A395" i="6"/>
  <c r="A394" i="6"/>
  <c r="A393" i="6"/>
  <c r="A392" i="6"/>
  <c r="A391" i="6"/>
  <c r="A390" i="6"/>
  <c r="A389" i="6"/>
  <c r="A388" i="6"/>
  <c r="A383" i="6"/>
  <c r="A378" i="6"/>
  <c r="A377" i="6"/>
  <c r="A370" i="6"/>
  <c r="A369" i="6"/>
  <c r="A368" i="6"/>
  <c r="A367" i="6"/>
  <c r="A366" i="6"/>
  <c r="A365" i="6"/>
  <c r="A363" i="6"/>
  <c r="A362" i="6"/>
  <c r="A361" i="6"/>
  <c r="A360" i="6"/>
  <c r="A359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37" i="6"/>
  <c r="A332" i="6"/>
  <c r="A331" i="6"/>
  <c r="A330" i="6"/>
  <c r="A329" i="6"/>
  <c r="A328" i="6"/>
  <c r="A327" i="6"/>
  <c r="A326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0" i="6"/>
  <c r="A229" i="6"/>
  <c r="A228" i="6"/>
  <c r="A227" i="6"/>
  <c r="A226" i="6"/>
  <c r="A225" i="6"/>
  <c r="A224" i="6"/>
  <c r="A223" i="6"/>
  <c r="A222" i="6"/>
  <c r="A221" i="6"/>
  <c r="A220" i="6"/>
  <c r="A215" i="6"/>
  <c r="A214" i="6"/>
  <c r="A213" i="6"/>
  <c r="A212" i="6"/>
  <c r="A211" i="6"/>
  <c r="A210" i="6"/>
  <c r="A205" i="6"/>
  <c r="A203" i="6"/>
  <c r="B189" i="26" s="1"/>
  <c r="A200" i="6"/>
  <c r="A199" i="6"/>
  <c r="A198" i="6"/>
  <c r="A196" i="6"/>
  <c r="B183" i="26" s="1"/>
  <c r="A195" i="6"/>
  <c r="A193" i="6"/>
  <c r="A192" i="6"/>
  <c r="A191" i="6"/>
  <c r="A190" i="6"/>
  <c r="A189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1" i="6"/>
  <c r="B150" i="26" s="1"/>
  <c r="A158" i="6"/>
  <c r="A157" i="6"/>
  <c r="A156" i="6"/>
  <c r="A155" i="6"/>
  <c r="A154" i="6"/>
  <c r="A153" i="6"/>
  <c r="A148" i="6"/>
  <c r="A147" i="6"/>
  <c r="A146" i="6"/>
  <c r="A145" i="6"/>
  <c r="A144" i="6"/>
  <c r="A143" i="6"/>
  <c r="A142" i="6"/>
  <c r="A141" i="6"/>
  <c r="A139" i="6"/>
  <c r="B130" i="26" s="1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0" i="6"/>
  <c r="A99" i="6"/>
  <c r="A97" i="6"/>
  <c r="B91" i="26" s="1"/>
  <c r="A96" i="6"/>
  <c r="A94" i="6"/>
  <c r="A93" i="6"/>
  <c r="A92" i="6"/>
  <c r="A91" i="6"/>
  <c r="A90" i="6"/>
  <c r="A89" i="6"/>
  <c r="A88" i="6"/>
  <c r="A86" i="6"/>
  <c r="B81" i="26" s="1"/>
  <c r="A83" i="6"/>
  <c r="A82" i="6"/>
  <c r="A81" i="6"/>
  <c r="A80" i="6"/>
  <c r="A79" i="6"/>
  <c r="A78" i="6"/>
  <c r="A77" i="6"/>
  <c r="A75" i="6"/>
  <c r="B71" i="26" s="1"/>
  <c r="A74" i="6"/>
  <c r="A72" i="6"/>
  <c r="A71" i="6"/>
  <c r="A70" i="6"/>
  <c r="A69" i="6"/>
  <c r="A68" i="6"/>
  <c r="A67" i="6"/>
  <c r="A66" i="6"/>
  <c r="A65" i="6"/>
  <c r="A63" i="6"/>
  <c r="A62" i="6"/>
  <c r="B59" i="26" s="1"/>
  <c r="A60" i="6"/>
  <c r="A59" i="6"/>
  <c r="A58" i="6"/>
  <c r="A57" i="6"/>
  <c r="A56" i="6"/>
  <c r="A55" i="6"/>
  <c r="A54" i="6"/>
  <c r="A53" i="6"/>
  <c r="A52" i="6"/>
  <c r="A48" i="7"/>
  <c r="A48" i="6"/>
  <c r="A47" i="6"/>
  <c r="A46" i="6"/>
  <c r="A45" i="6"/>
  <c r="A44" i="6"/>
  <c r="A43" i="6"/>
  <c r="A42" i="6"/>
  <c r="A41" i="6"/>
  <c r="A40" i="6"/>
  <c r="A39" i="6"/>
  <c r="A34" i="6"/>
  <c r="A33" i="6"/>
  <c r="A32" i="6"/>
  <c r="A31" i="6"/>
  <c r="A30" i="6"/>
  <c r="A29" i="6"/>
  <c r="A28" i="6"/>
  <c r="A27" i="6"/>
  <c r="A26" i="6"/>
  <c r="A25" i="6"/>
  <c r="A20" i="6"/>
  <c r="A19" i="6"/>
  <c r="A18" i="6"/>
  <c r="A17" i="6"/>
  <c r="A16" i="6"/>
  <c r="A15" i="6"/>
  <c r="A14" i="6"/>
  <c r="A13" i="7"/>
  <c r="A34" i="7"/>
  <c r="B14" i="9" l="1"/>
  <c r="A25" i="9"/>
  <c r="F20" i="9"/>
  <c r="B20" i="9"/>
  <c r="B18" i="9"/>
  <c r="B16" i="9"/>
  <c r="F12" i="9"/>
  <c r="A57" i="7"/>
  <c r="B57" i="26"/>
  <c r="A116" i="7"/>
  <c r="B116" i="26"/>
  <c r="A169" i="7"/>
  <c r="B169" i="26"/>
  <c r="A240" i="7"/>
  <c r="B240" i="26"/>
  <c r="A41" i="7"/>
  <c r="B41" i="26"/>
  <c r="A98" i="7"/>
  <c r="B98" i="26"/>
  <c r="A133" i="7"/>
  <c r="B133" i="26"/>
  <c r="A24" i="7"/>
  <c r="B24" i="26"/>
  <c r="A14" i="7"/>
  <c r="B14" i="26"/>
  <c r="A25" i="7"/>
  <c r="B25" i="26"/>
  <c r="A33" i="7"/>
  <c r="B33" i="26"/>
  <c r="A44" i="7"/>
  <c r="B44" i="26"/>
  <c r="A53" i="7"/>
  <c r="B53" i="26"/>
  <c r="A62" i="7"/>
  <c r="B62" i="26"/>
  <c r="A91" i="7"/>
  <c r="B90" i="26"/>
  <c r="A101" i="7"/>
  <c r="B101" i="26"/>
  <c r="A109" i="7"/>
  <c r="B109" i="26"/>
  <c r="A120" i="7"/>
  <c r="B120" i="26"/>
  <c r="A128" i="7"/>
  <c r="B128" i="26"/>
  <c r="A136" i="7"/>
  <c r="B136" i="26"/>
  <c r="A147" i="7"/>
  <c r="B147" i="26"/>
  <c r="A157" i="7"/>
  <c r="B157" i="26"/>
  <c r="A165" i="7"/>
  <c r="B165" i="26"/>
  <c r="A176" i="7"/>
  <c r="B176" i="26"/>
  <c r="A185" i="7"/>
  <c r="B185" i="26"/>
  <c r="A198" i="7"/>
  <c r="B198" i="26"/>
  <c r="A209" i="7"/>
  <c r="B209" i="26"/>
  <c r="A220" i="7"/>
  <c r="B220" i="26"/>
  <c r="A228" i="7"/>
  <c r="B228" i="26"/>
  <c r="A236" i="7"/>
  <c r="B236" i="26"/>
  <c r="A244" i="7"/>
  <c r="B244" i="26"/>
  <c r="A252" i="7"/>
  <c r="B252" i="26"/>
  <c r="A260" i="7"/>
  <c r="B260" i="26"/>
  <c r="A268" i="7"/>
  <c r="B268" i="26"/>
  <c r="A276" i="7"/>
  <c r="B276" i="26"/>
  <c r="A284" i="7"/>
  <c r="B284" i="26"/>
  <c r="A292" i="7"/>
  <c r="B292" i="26"/>
  <c r="A300" i="7"/>
  <c r="B300" i="26"/>
  <c r="A311" i="7"/>
  <c r="B311" i="26"/>
  <c r="A325" i="7"/>
  <c r="B325" i="26"/>
  <c r="A333" i="7"/>
  <c r="B333" i="26"/>
  <c r="A344" i="7"/>
  <c r="B344" i="26"/>
  <c r="A361" i="7"/>
  <c r="B364" i="26"/>
  <c r="A369" i="7"/>
  <c r="A69" i="7"/>
  <c r="B69" i="26"/>
  <c r="A114" i="7"/>
  <c r="B113" i="26"/>
  <c r="A175" i="7"/>
  <c r="B174" i="26"/>
  <c r="A304" i="7"/>
  <c r="B304" i="26"/>
  <c r="A336" i="7"/>
  <c r="B335" i="26"/>
  <c r="A359" i="7"/>
  <c r="A66" i="7"/>
  <c r="B66" i="26"/>
  <c r="A124" i="7"/>
  <c r="B124" i="26"/>
  <c r="A180" i="7"/>
  <c r="B180" i="26"/>
  <c r="A248" i="7"/>
  <c r="B248" i="26"/>
  <c r="A50" i="7"/>
  <c r="B50" i="26"/>
  <c r="A86" i="7"/>
  <c r="B86" i="26"/>
  <c r="A154" i="7"/>
  <c r="B154" i="26"/>
  <c r="A15" i="7"/>
  <c r="B15" i="26"/>
  <c r="A26" i="7"/>
  <c r="B26" i="26"/>
  <c r="A37" i="7"/>
  <c r="B37" i="26"/>
  <c r="A45" i="7"/>
  <c r="B45" i="26"/>
  <c r="A54" i="7"/>
  <c r="B54" i="26"/>
  <c r="A63" i="7"/>
  <c r="B63" i="26"/>
  <c r="A72" i="7"/>
  <c r="B72" i="26"/>
  <c r="A82" i="7"/>
  <c r="B82" i="26"/>
  <c r="A102" i="7"/>
  <c r="B102" i="26"/>
  <c r="A110" i="7"/>
  <c r="B110" i="26"/>
  <c r="A121" i="7"/>
  <c r="B121" i="26"/>
  <c r="A130" i="7"/>
  <c r="B129" i="26"/>
  <c r="A137" i="7"/>
  <c r="B137" i="26"/>
  <c r="A158" i="7"/>
  <c r="B158" i="26"/>
  <c r="A166" i="7"/>
  <c r="B166" i="26"/>
  <c r="A177" i="7"/>
  <c r="B177" i="26"/>
  <c r="A186" i="7"/>
  <c r="B186" i="26"/>
  <c r="A199" i="7"/>
  <c r="B199" i="26"/>
  <c r="A210" i="7"/>
  <c r="B210" i="26"/>
  <c r="A221" i="7"/>
  <c r="B221" i="26"/>
  <c r="A229" i="7"/>
  <c r="B229" i="26"/>
  <c r="A237" i="7"/>
  <c r="B237" i="26"/>
  <c r="A245" i="7"/>
  <c r="B245" i="26"/>
  <c r="A253" i="7"/>
  <c r="B253" i="26"/>
  <c r="A261" i="7"/>
  <c r="B261" i="26"/>
  <c r="A269" i="7"/>
  <c r="B269" i="26"/>
  <c r="A277" i="7"/>
  <c r="B277" i="26"/>
  <c r="A285" i="7"/>
  <c r="B285" i="26"/>
  <c r="A293" i="7"/>
  <c r="B293" i="26"/>
  <c r="A301" i="7"/>
  <c r="B301" i="26"/>
  <c r="A312" i="7"/>
  <c r="B312" i="26"/>
  <c r="A326" i="7"/>
  <c r="B326" i="26"/>
  <c r="A337" i="7"/>
  <c r="B337" i="26"/>
  <c r="A345" i="7"/>
  <c r="B345" i="26"/>
  <c r="A362" i="7"/>
  <c r="B365" i="26"/>
  <c r="A371" i="7"/>
  <c r="B374" i="26"/>
  <c r="A81" i="7"/>
  <c r="B80" i="26"/>
  <c r="A112" i="7"/>
  <c r="B112" i="26"/>
  <c r="A173" i="7"/>
  <c r="B173" i="26"/>
  <c r="A202" i="7"/>
  <c r="B201" i="26"/>
  <c r="A334" i="7"/>
  <c r="B334" i="26"/>
  <c r="A358" i="7"/>
  <c r="A27" i="7"/>
  <c r="B27" i="26"/>
  <c r="A47" i="7"/>
  <c r="B46" i="26"/>
  <c r="A64" i="7"/>
  <c r="B64" i="26"/>
  <c r="A83" i="7"/>
  <c r="B83" i="26"/>
  <c r="A103" i="7"/>
  <c r="B103" i="26"/>
  <c r="A151" i="7"/>
  <c r="B151" i="26"/>
  <c r="A167" i="7"/>
  <c r="B167" i="26"/>
  <c r="A211" i="7"/>
  <c r="B211" i="26"/>
  <c r="A222" i="7"/>
  <c r="B222" i="26"/>
  <c r="A230" i="7"/>
  <c r="B230" i="26"/>
  <c r="A238" i="7"/>
  <c r="B238" i="26"/>
  <c r="A246" i="7"/>
  <c r="B246" i="26"/>
  <c r="A254" i="7"/>
  <c r="B254" i="26"/>
  <c r="A262" i="7"/>
  <c r="B262" i="26"/>
  <c r="A270" i="7"/>
  <c r="B270" i="26"/>
  <c r="A278" i="7"/>
  <c r="B278" i="26"/>
  <c r="A286" i="7"/>
  <c r="B286" i="26"/>
  <c r="A294" i="7"/>
  <c r="B294" i="26"/>
  <c r="A302" i="7"/>
  <c r="B302" i="26"/>
  <c r="A313" i="7"/>
  <c r="B313" i="26"/>
  <c r="A327" i="7"/>
  <c r="B327" i="26"/>
  <c r="A338" i="7"/>
  <c r="B338" i="26"/>
  <c r="A346" i="7"/>
  <c r="B346" i="26"/>
  <c r="A363" i="7"/>
  <c r="B366" i="26"/>
  <c r="A372" i="7"/>
  <c r="B375" i="26"/>
  <c r="A79" i="7"/>
  <c r="B79" i="26"/>
  <c r="A181" i="7"/>
  <c r="B181" i="26"/>
  <c r="A200" i="7"/>
  <c r="B200" i="26"/>
  <c r="A316" i="7"/>
  <c r="B315" i="26"/>
  <c r="B353" i="26"/>
  <c r="A350" i="7"/>
  <c r="B360" i="26"/>
  <c r="A357" i="7"/>
  <c r="A16" i="7"/>
  <c r="B16" i="26"/>
  <c r="A38" i="7"/>
  <c r="B38" i="26"/>
  <c r="A55" i="7"/>
  <c r="B55" i="26"/>
  <c r="A73" i="7"/>
  <c r="B73" i="26"/>
  <c r="A92" i="7"/>
  <c r="B92" i="26"/>
  <c r="A111" i="7"/>
  <c r="B111" i="26"/>
  <c r="A122" i="7"/>
  <c r="B122" i="26"/>
  <c r="A138" i="7"/>
  <c r="B138" i="26"/>
  <c r="A159" i="7"/>
  <c r="B159" i="26"/>
  <c r="A178" i="7"/>
  <c r="B178" i="26"/>
  <c r="A203" i="7"/>
  <c r="B203" i="26"/>
  <c r="A17" i="7"/>
  <c r="B17" i="26"/>
  <c r="A28" i="7"/>
  <c r="B28" i="26"/>
  <c r="A39" i="7"/>
  <c r="B39" i="26"/>
  <c r="A56" i="7"/>
  <c r="B56" i="26"/>
  <c r="A65" i="7"/>
  <c r="B65" i="26"/>
  <c r="A74" i="7"/>
  <c r="B74" i="26"/>
  <c r="A84" i="7"/>
  <c r="B84" i="26"/>
  <c r="A93" i="7"/>
  <c r="B93" i="26"/>
  <c r="A104" i="7"/>
  <c r="B104" i="26"/>
  <c r="A115" i="7"/>
  <c r="B115" i="26"/>
  <c r="A123" i="7"/>
  <c r="B123" i="26"/>
  <c r="A131" i="7"/>
  <c r="B131" i="26"/>
  <c r="A142" i="7"/>
  <c r="B142" i="26"/>
  <c r="A152" i="7"/>
  <c r="B152" i="26"/>
  <c r="A160" i="7"/>
  <c r="B160" i="26"/>
  <c r="A168" i="7"/>
  <c r="B168" i="26"/>
  <c r="A179" i="7"/>
  <c r="B179" i="26"/>
  <c r="A190" i="7"/>
  <c r="B190" i="26"/>
  <c r="A204" i="7"/>
  <c r="B204" i="26"/>
  <c r="A212" i="7"/>
  <c r="B212" i="26"/>
  <c r="A223" i="7"/>
  <c r="B223" i="26"/>
  <c r="A231" i="7"/>
  <c r="B231" i="26"/>
  <c r="A239" i="7"/>
  <c r="B239" i="26"/>
  <c r="A247" i="7"/>
  <c r="B247" i="26"/>
  <c r="A255" i="7"/>
  <c r="B255" i="26"/>
  <c r="A263" i="7"/>
  <c r="B263" i="26"/>
  <c r="A271" i="7"/>
  <c r="B271" i="26"/>
  <c r="A279" i="7"/>
  <c r="B279" i="26"/>
  <c r="A287" i="7"/>
  <c r="B287" i="26"/>
  <c r="A295" i="7"/>
  <c r="B295" i="26"/>
  <c r="A303" i="7"/>
  <c r="B303" i="26"/>
  <c r="A317" i="7"/>
  <c r="B317" i="26"/>
  <c r="A328" i="7"/>
  <c r="B328" i="26"/>
  <c r="A339" i="7"/>
  <c r="B339" i="26"/>
  <c r="A347" i="7"/>
  <c r="B347" i="26"/>
  <c r="A364" i="7"/>
  <c r="B367" i="26"/>
  <c r="A373" i="7"/>
  <c r="B376" i="26"/>
  <c r="A89" i="7"/>
  <c r="B89" i="26"/>
  <c r="A141" i="7"/>
  <c r="B140" i="26"/>
  <c r="A189" i="7"/>
  <c r="B188" i="26"/>
  <c r="A314" i="7"/>
  <c r="B314" i="26"/>
  <c r="A349" i="7"/>
  <c r="B349" i="26"/>
  <c r="A18" i="7"/>
  <c r="B18" i="26"/>
  <c r="A75" i="7"/>
  <c r="B75" i="26"/>
  <c r="A132" i="7"/>
  <c r="B132" i="26"/>
  <c r="A194" i="7"/>
  <c r="B194" i="26"/>
  <c r="A213" i="7"/>
  <c r="B213" i="26"/>
  <c r="A256" i="7"/>
  <c r="B256" i="26"/>
  <c r="A264" i="7"/>
  <c r="B264" i="26"/>
  <c r="A272" i="7"/>
  <c r="B272" i="26"/>
  <c r="A280" i="7"/>
  <c r="B280" i="26"/>
  <c r="A288" i="7"/>
  <c r="B288" i="26"/>
  <c r="A296" i="7"/>
  <c r="B296" i="26"/>
  <c r="A307" i="7"/>
  <c r="B307" i="26"/>
  <c r="A318" i="7"/>
  <c r="B318" i="26"/>
  <c r="A329" i="7"/>
  <c r="B329" i="26"/>
  <c r="A340" i="7"/>
  <c r="B340" i="26"/>
  <c r="A351" i="7"/>
  <c r="B354" i="26"/>
  <c r="A365" i="7"/>
  <c r="B368" i="26"/>
  <c r="A374" i="7"/>
  <c r="B377" i="26"/>
  <c r="A139" i="7"/>
  <c r="B139" i="26"/>
  <c r="A187" i="7"/>
  <c r="B187" i="26"/>
  <c r="A216" i="7"/>
  <c r="B215" i="26"/>
  <c r="A348" i="7"/>
  <c r="B348" i="26"/>
  <c r="A40" i="7"/>
  <c r="B40" i="26"/>
  <c r="A97" i="7"/>
  <c r="B97" i="26"/>
  <c r="A153" i="7"/>
  <c r="B153" i="26"/>
  <c r="A224" i="7"/>
  <c r="B224" i="26"/>
  <c r="A30" i="7"/>
  <c r="B30" i="26"/>
  <c r="A76" i="7"/>
  <c r="B76" i="26"/>
  <c r="A125" i="7"/>
  <c r="B125" i="26"/>
  <c r="A162" i="7"/>
  <c r="B162" i="26"/>
  <c r="A195" i="7"/>
  <c r="B195" i="26"/>
  <c r="A217" i="7"/>
  <c r="B217" i="26"/>
  <c r="A233" i="7"/>
  <c r="B233" i="26"/>
  <c r="A241" i="7"/>
  <c r="B241" i="26"/>
  <c r="A257" i="7"/>
  <c r="B257" i="26"/>
  <c r="A265" i="7"/>
  <c r="B265" i="26"/>
  <c r="A273" i="7"/>
  <c r="B273" i="26"/>
  <c r="A281" i="7"/>
  <c r="B281" i="26"/>
  <c r="A289" i="7"/>
  <c r="B289" i="26"/>
  <c r="A297" i="7"/>
  <c r="B297" i="26"/>
  <c r="A308" i="7"/>
  <c r="B308" i="26"/>
  <c r="A322" i="7"/>
  <c r="B322" i="26"/>
  <c r="A330" i="7"/>
  <c r="B330" i="26"/>
  <c r="A341" i="7"/>
  <c r="B341" i="26"/>
  <c r="A352" i="7"/>
  <c r="B355" i="26"/>
  <c r="A366" i="7"/>
  <c r="B369" i="26"/>
  <c r="A375" i="7"/>
  <c r="B378" i="26"/>
  <c r="A96" i="7"/>
  <c r="B95" i="26"/>
  <c r="A150" i="7"/>
  <c r="B149" i="26"/>
  <c r="A214" i="7"/>
  <c r="B214" i="26"/>
  <c r="A321" i="7"/>
  <c r="B320" i="26"/>
  <c r="A355" i="7"/>
  <c r="B358" i="26"/>
  <c r="A49" i="7"/>
  <c r="B49" i="26"/>
  <c r="A105" i="7"/>
  <c r="B105" i="26"/>
  <c r="A161" i="7"/>
  <c r="B161" i="26"/>
  <c r="A232" i="7"/>
  <c r="B232" i="26"/>
  <c r="A106" i="7"/>
  <c r="B106" i="26"/>
  <c r="A144" i="7"/>
  <c r="B144" i="26"/>
  <c r="A183" i="7"/>
  <c r="B182" i="26"/>
  <c r="A206" i="7"/>
  <c r="B206" i="26"/>
  <c r="A225" i="7"/>
  <c r="B225" i="26"/>
  <c r="A249" i="7"/>
  <c r="B249" i="26"/>
  <c r="A20" i="7"/>
  <c r="B20" i="26"/>
  <c r="A31" i="7"/>
  <c r="B31" i="26"/>
  <c r="A42" i="7"/>
  <c r="B42" i="26"/>
  <c r="A51" i="7"/>
  <c r="B51" i="26"/>
  <c r="B60" i="26"/>
  <c r="A60" i="7"/>
  <c r="A68" i="7"/>
  <c r="B68" i="26"/>
  <c r="A77" i="7"/>
  <c r="B77" i="26"/>
  <c r="A87" i="7"/>
  <c r="B87" i="26"/>
  <c r="A99" i="7"/>
  <c r="B99" i="26"/>
  <c r="A107" i="7"/>
  <c r="B107" i="26"/>
  <c r="A118" i="7"/>
  <c r="B118" i="26"/>
  <c r="A126" i="7"/>
  <c r="B126" i="26"/>
  <c r="A134" i="7"/>
  <c r="B134" i="26"/>
  <c r="A145" i="7"/>
  <c r="B145" i="26"/>
  <c r="A155" i="7"/>
  <c r="B155" i="26"/>
  <c r="A163" i="7"/>
  <c r="B163" i="26"/>
  <c r="A171" i="7"/>
  <c r="B171" i="26"/>
  <c r="A196" i="7"/>
  <c r="B196" i="26"/>
  <c r="A207" i="7"/>
  <c r="B207" i="26"/>
  <c r="A218" i="7"/>
  <c r="B218" i="26"/>
  <c r="A226" i="7"/>
  <c r="B226" i="26"/>
  <c r="A234" i="7"/>
  <c r="B234" i="26"/>
  <c r="A242" i="7"/>
  <c r="B242" i="26"/>
  <c r="A250" i="7"/>
  <c r="B250" i="26"/>
  <c r="A258" i="7"/>
  <c r="B258" i="26"/>
  <c r="A266" i="7"/>
  <c r="B266" i="26"/>
  <c r="A274" i="7"/>
  <c r="B274" i="26"/>
  <c r="A282" i="7"/>
  <c r="B282" i="26"/>
  <c r="A290" i="7"/>
  <c r="B290" i="26"/>
  <c r="A298" i="7"/>
  <c r="B298" i="26"/>
  <c r="A309" i="7"/>
  <c r="B309" i="26"/>
  <c r="A323" i="7"/>
  <c r="B323" i="26"/>
  <c r="A331" i="7"/>
  <c r="B331" i="26"/>
  <c r="A342" i="7"/>
  <c r="B342" i="26"/>
  <c r="A356" i="7"/>
  <c r="B359" i="26"/>
  <c r="A367" i="7"/>
  <c r="B370" i="26"/>
  <c r="A94" i="7"/>
  <c r="B94" i="26"/>
  <c r="A148" i="7"/>
  <c r="B148" i="26"/>
  <c r="A193" i="7"/>
  <c r="B192" i="26"/>
  <c r="A319" i="7"/>
  <c r="B319" i="26"/>
  <c r="A354" i="7"/>
  <c r="B357" i="26"/>
  <c r="A29" i="7"/>
  <c r="B29" i="26"/>
  <c r="A85" i="7"/>
  <c r="B85" i="26"/>
  <c r="A143" i="7"/>
  <c r="B143" i="26"/>
  <c r="A205" i="7"/>
  <c r="B205" i="26"/>
  <c r="A19" i="7"/>
  <c r="B19" i="26"/>
  <c r="A67" i="7"/>
  <c r="B67" i="26"/>
  <c r="A117" i="7"/>
  <c r="B117" i="26"/>
  <c r="A170" i="7"/>
  <c r="B170" i="26"/>
  <c r="A32" i="7"/>
  <c r="B32" i="26"/>
  <c r="A43" i="7"/>
  <c r="B43" i="26"/>
  <c r="A52" i="7"/>
  <c r="B52" i="26"/>
  <c r="A61" i="7"/>
  <c r="B61" i="26"/>
  <c r="A71" i="7"/>
  <c r="B70" i="26"/>
  <c r="A78" i="7"/>
  <c r="B78" i="26"/>
  <c r="A88" i="7"/>
  <c r="B88" i="26"/>
  <c r="A100" i="7"/>
  <c r="B100" i="26"/>
  <c r="A108" i="7"/>
  <c r="B108" i="26"/>
  <c r="A119" i="7"/>
  <c r="B119" i="26"/>
  <c r="A127" i="7"/>
  <c r="B127" i="26"/>
  <c r="A135" i="7"/>
  <c r="B135" i="26"/>
  <c r="A146" i="7"/>
  <c r="B146" i="26"/>
  <c r="A156" i="7"/>
  <c r="B156" i="26"/>
  <c r="A164" i="7"/>
  <c r="B164" i="26"/>
  <c r="A172" i="7"/>
  <c r="B172" i="26"/>
  <c r="A184" i="7"/>
  <c r="B184" i="26"/>
  <c r="A197" i="7"/>
  <c r="B197" i="26"/>
  <c r="A208" i="7"/>
  <c r="B208" i="26"/>
  <c r="A219" i="7"/>
  <c r="B219" i="26"/>
  <c r="A227" i="7"/>
  <c r="B227" i="26"/>
  <c r="A235" i="7"/>
  <c r="B235" i="26"/>
  <c r="A243" i="7"/>
  <c r="B243" i="26"/>
  <c r="A251" i="7"/>
  <c r="B251" i="26"/>
  <c r="A259" i="7"/>
  <c r="B259" i="26"/>
  <c r="A267" i="7"/>
  <c r="B267" i="26"/>
  <c r="A275" i="7"/>
  <c r="B275" i="26"/>
  <c r="A283" i="7"/>
  <c r="B283" i="26"/>
  <c r="A291" i="7"/>
  <c r="B291" i="26"/>
  <c r="A299" i="7"/>
  <c r="B299" i="26"/>
  <c r="A310" i="7"/>
  <c r="B310" i="26"/>
  <c r="A324" i="7"/>
  <c r="B324" i="26"/>
  <c r="A332" i="7"/>
  <c r="B332" i="26"/>
  <c r="A343" i="7"/>
  <c r="B343" i="26"/>
  <c r="A360" i="7"/>
  <c r="B363" i="26"/>
  <c r="A368" i="7"/>
  <c r="A58" i="7"/>
  <c r="B58" i="26"/>
  <c r="A191" i="7"/>
  <c r="B191" i="26"/>
  <c r="A306" i="7"/>
  <c r="B305" i="26"/>
  <c r="A353" i="7"/>
  <c r="B356" i="26"/>
  <c r="A59" i="7"/>
  <c r="B14" i="25" l="1"/>
</calcChain>
</file>

<file path=xl/sharedStrings.xml><?xml version="1.0" encoding="utf-8"?>
<sst xmlns="http://schemas.openxmlformats.org/spreadsheetml/2006/main" count="2927" uniqueCount="720">
  <si>
    <t>CPU</t>
  </si>
  <si>
    <t>NEGRO</t>
  </si>
  <si>
    <t>SION</t>
  </si>
  <si>
    <t>BUENO</t>
  </si>
  <si>
    <t>MONITOR</t>
  </si>
  <si>
    <t>SAMSUNG</t>
  </si>
  <si>
    <t>MOUSE</t>
  </si>
  <si>
    <t>HAVIC</t>
  </si>
  <si>
    <t>REGULADOR DE VOLTAJE</t>
  </si>
  <si>
    <t>BLANCO</t>
  </si>
  <si>
    <t>REGULAR</t>
  </si>
  <si>
    <t>TECLADO</t>
  </si>
  <si>
    <t>HP</t>
  </si>
  <si>
    <t>DELUX</t>
  </si>
  <si>
    <t>GENIUS</t>
  </si>
  <si>
    <t>CONTABILIDAD</t>
  </si>
  <si>
    <t>6CM213011T</t>
  </si>
  <si>
    <t>LG</t>
  </si>
  <si>
    <t>INS</t>
  </si>
  <si>
    <t>SENSOR DE ALARMA</t>
  </si>
  <si>
    <t>K50151110000601</t>
  </si>
  <si>
    <t>FISCALIZACIÓN</t>
  </si>
  <si>
    <t>GRIS-NEGRO</t>
  </si>
  <si>
    <t>NEGRO - GRIS</t>
  </si>
  <si>
    <t>ARES</t>
  </si>
  <si>
    <t>ALTEK</t>
  </si>
  <si>
    <t>FUNERARIA</t>
  </si>
  <si>
    <t xml:space="preserve">REGULADOR DE VOLTAGE </t>
  </si>
  <si>
    <t>LABORATORIO COMPUTACIÓN</t>
  </si>
  <si>
    <t>ZT14H4LC401339A</t>
  </si>
  <si>
    <t>ZT14H4LC401236A</t>
  </si>
  <si>
    <t>ZT14H4LC401233K</t>
  </si>
  <si>
    <t>ZT14H4LC401242V</t>
  </si>
  <si>
    <t>ZT14H4LC400506X</t>
  </si>
  <si>
    <t>ZT14H4LC401238D</t>
  </si>
  <si>
    <t>ZT14H4LC400590H</t>
  </si>
  <si>
    <t>ZT14H4LC402734Y</t>
  </si>
  <si>
    <t>ZT14H4LC402827D</t>
  </si>
  <si>
    <t>ZT14H4LC201317M</t>
  </si>
  <si>
    <t>PLOMO</t>
  </si>
  <si>
    <t>QUASAD</t>
  </si>
  <si>
    <t>HUB USB</t>
  </si>
  <si>
    <t>012NTCZDP579</t>
  </si>
  <si>
    <t>BLANCO-NEGRO</t>
  </si>
  <si>
    <t>AdMRtEST Drive</t>
  </si>
  <si>
    <t>PROYECTOR</t>
  </si>
  <si>
    <t>EPSON</t>
  </si>
  <si>
    <t>APEX</t>
  </si>
  <si>
    <t>RELOJ BIOMETRICO</t>
  </si>
  <si>
    <t>PASILLO OFICINAS</t>
  </si>
  <si>
    <t>PATIO</t>
  </si>
  <si>
    <t>SECRETARIA GENERAL</t>
  </si>
  <si>
    <t>COPIADORA</t>
  </si>
  <si>
    <t>HIKVISION</t>
  </si>
  <si>
    <t>HNFF71A002934</t>
  </si>
  <si>
    <t>911NTNH1S119</t>
  </si>
  <si>
    <t>TESORERÍA</t>
  </si>
  <si>
    <t>DELL</t>
  </si>
  <si>
    <t>CONSOLA</t>
  </si>
  <si>
    <t>INSPECCIÓN GENERAL</t>
  </si>
  <si>
    <t>CONTROL PROYECTOR</t>
  </si>
  <si>
    <t>PEDALERA</t>
  </si>
  <si>
    <t>GRIS</t>
  </si>
  <si>
    <t>COLOR</t>
  </si>
  <si>
    <t>MARCA</t>
  </si>
  <si>
    <t>MODELO</t>
  </si>
  <si>
    <t>UBICACIÓN</t>
  </si>
  <si>
    <t>ESTADO</t>
  </si>
  <si>
    <t>COSTO</t>
  </si>
  <si>
    <t>CANTIDAD</t>
  </si>
  <si>
    <t>CODIGO</t>
  </si>
  <si>
    <t>PRODUCTO</t>
  </si>
  <si>
    <t>CARACTERISTICAS</t>
  </si>
  <si>
    <t>PSICOSENSOMÉTRICO 1</t>
  </si>
  <si>
    <t>PSICOSENSOMÉTRICO 2</t>
  </si>
  <si>
    <t>AULA-C1</t>
  </si>
  <si>
    <t>AULA-C2</t>
  </si>
  <si>
    <t>AULA-C3</t>
  </si>
  <si>
    <t>SERIE</t>
  </si>
  <si>
    <t>911NTHM1T121</t>
  </si>
  <si>
    <t>19,5 PULGADAS</t>
  </si>
  <si>
    <t>GENERICO</t>
  </si>
  <si>
    <t>5V-100MA</t>
  </si>
  <si>
    <t>S/S</t>
  </si>
  <si>
    <t>ALAMBRICO, LED</t>
  </si>
  <si>
    <t>S/M</t>
  </si>
  <si>
    <t>POWER LITE S12+</t>
  </si>
  <si>
    <t>PSPK3401963</t>
  </si>
  <si>
    <t>KLIP EXTREME</t>
  </si>
  <si>
    <t>KSS-710</t>
  </si>
  <si>
    <t>13-11580</t>
  </si>
  <si>
    <t>WINDOWS 8.1 ENTERPRISE, PROCESADOR: INTEL ® CORE TM i3-9100F CPU, 360 GHZ, RAM 4 GB, 64 BITS, INTERNET ALAMBRICO</t>
  </si>
  <si>
    <t>CAMARA VIDEO VIGILANCIA</t>
  </si>
  <si>
    <t>CONECTADA AL DVR Y VISION EN MOVIL Y CUARTO DE RED</t>
  </si>
  <si>
    <t>DSC</t>
  </si>
  <si>
    <t>LC-100PI</t>
  </si>
  <si>
    <t>CONECTADA AL SISTEMA DE ALARMAS</t>
  </si>
  <si>
    <t>20MK400H-B</t>
  </si>
  <si>
    <t>19,5 PULGADAS, HDMI</t>
  </si>
  <si>
    <t>GM-04011P</t>
  </si>
  <si>
    <t>124430707394</t>
  </si>
  <si>
    <t>PSPK3401919</t>
  </si>
  <si>
    <t>13-1158005</t>
  </si>
  <si>
    <t>SWITCH DE INTERNET</t>
  </si>
  <si>
    <t>AZUL</t>
  </si>
  <si>
    <t>AVR-INS2000VA</t>
  </si>
  <si>
    <t>19C04206300</t>
  </si>
  <si>
    <t>WINDOWS 8.1 ENTERPRISE, PROCESADOR: INTEL ® CORE TM i5-2310 CPU, 2.90 GHZ, RAM 4 GB, 64 BITS, INTERNET ALAMBRICO</t>
  </si>
  <si>
    <t>HPLV1911</t>
  </si>
  <si>
    <t>NEGRO, TRASPARENTE</t>
  </si>
  <si>
    <t>PSPK2308028</t>
  </si>
  <si>
    <t>CON PEDESTAL, CABLE VGA DE 15 m. Y CABLE DE ENERGIA</t>
  </si>
  <si>
    <t>CON SOPORTE AEREO, CABLE DE SONIO DE 20 m. Y CABLE DE ENERGIA</t>
  </si>
  <si>
    <t>AULA-E2</t>
  </si>
  <si>
    <t>PC-SION-COE I5-SAM20</t>
  </si>
  <si>
    <t>WINDOWS 8.1 SINGLE LENGUAGE, PROCESADOR: INTEL ® CORE TM i5-4460 CPU, 3.20 GHZ, RAM 4 GB, 64 BITS, INTERNET ALAMBRICO</t>
  </si>
  <si>
    <t>K5015</t>
  </si>
  <si>
    <t>VIEWSONIC</t>
  </si>
  <si>
    <t>PA503S</t>
  </si>
  <si>
    <t>VOR231704316</t>
  </si>
  <si>
    <t>CON PEDESTAL, CABLE HDMI DE 15 m. Y CABLE DE ENERGIA</t>
  </si>
  <si>
    <t>AITEX</t>
  </si>
  <si>
    <t>BIENO</t>
  </si>
  <si>
    <t>AVR 1600SN</t>
  </si>
  <si>
    <t>ADAPTADOR DE INTERNET</t>
  </si>
  <si>
    <t>UI.COM</t>
  </si>
  <si>
    <t>GP-A240-050G</t>
  </si>
  <si>
    <t>DOS PUERTOS 1 DE ENTRADA Y 1  SALIDA, CABLE DE ENERGIA</t>
  </si>
  <si>
    <t>Q-3101</t>
  </si>
  <si>
    <t>2 PILAS AAA</t>
  </si>
  <si>
    <t>AULA-D1</t>
  </si>
  <si>
    <t>WINDOWS 8.1 ENTERPRISE, PROCESADOR: INTEL ® CORE TM i3-9100F CPU, 3.60 GHZ, RAM 4 GB, 64 BITS, INTERNET ALAMBRICO</t>
  </si>
  <si>
    <t>KB-115</t>
  </si>
  <si>
    <t>UD19M2705685</t>
  </si>
  <si>
    <t>VOR231704169</t>
  </si>
  <si>
    <t>EZVIZ</t>
  </si>
  <si>
    <t>VISION EN MOVIL GIRATORIA, CON ALARMA</t>
  </si>
  <si>
    <t>MODEM WIFI</t>
  </si>
  <si>
    <t>TP-LINK</t>
  </si>
  <si>
    <t>223C3L1003679</t>
  </si>
  <si>
    <t>ARCHEDC50(ES)</t>
  </si>
  <si>
    <t>5 PUERTOS RJ45 Y CABLE DE ENERGIA</t>
  </si>
  <si>
    <t>AULA-E1</t>
  </si>
  <si>
    <t>GM-120014</t>
  </si>
  <si>
    <t>X3E86009907469</t>
  </si>
  <si>
    <t>K501541111002496</t>
  </si>
  <si>
    <t>VOR231704347</t>
  </si>
  <si>
    <t>P89G</t>
  </si>
  <si>
    <t>BASE TELEFÓNICA</t>
  </si>
  <si>
    <t>GRANDSTREAM</t>
  </si>
  <si>
    <t>GRP2601P</t>
  </si>
  <si>
    <t>20EZ41MM70628CE2</t>
  </si>
  <si>
    <t>LLAMADAS INTERNAS, CABLE DE CONECCIÓN, CABLE ENERGIA</t>
  </si>
  <si>
    <t>IMPRESORA</t>
  </si>
  <si>
    <t>L3150</t>
  </si>
  <si>
    <t>X5E8213728</t>
  </si>
  <si>
    <t>CABKLE DE ENERGIA Y CABLE DE DATOS</t>
  </si>
  <si>
    <t>FLASH MEMORY</t>
  </si>
  <si>
    <t>NEGRO AZUL</t>
  </si>
  <si>
    <t>KINGSTON</t>
  </si>
  <si>
    <t>AULA-E3</t>
  </si>
  <si>
    <t>NEGRO/BLANCO</t>
  </si>
  <si>
    <t>HV-M8000</t>
  </si>
  <si>
    <t>MS11M8000XM04762</t>
  </si>
  <si>
    <t>420050902802</t>
  </si>
  <si>
    <t>VOR231704317</t>
  </si>
  <si>
    <t>SALON DE ACTOS</t>
  </si>
  <si>
    <t>GENERICA</t>
  </si>
  <si>
    <t>DOS ANTENAS, 5 PUERTOS RJ45</t>
  </si>
  <si>
    <t>TL-WR841N(ES)</t>
  </si>
  <si>
    <t>220C292002527</t>
  </si>
  <si>
    <t>INTEL</t>
  </si>
  <si>
    <t>PROYECT CODE NUC6CAYH</t>
  </si>
  <si>
    <t>G6AY109001VH</t>
  </si>
  <si>
    <t>CONECTADO TODOS LOS DISPOSITIVOS DEL EQUIPO E INSTALADO EL SOFTWARE PARA PRUEBAS DEL BIOMÉTRICO</t>
  </si>
  <si>
    <t>19" PARA VISUALIZACIÓN DE DATOS DEL USUARIO</t>
  </si>
  <si>
    <t>19" PARA VISUALIZACIÓN DE DATOS DEL EXAMINADOR</t>
  </si>
  <si>
    <t>012NTFADP643</t>
  </si>
  <si>
    <t>QKM-5100G</t>
  </si>
  <si>
    <t>MINI CPU NUC</t>
  </si>
  <si>
    <t>GENÉRICO</t>
  </si>
  <si>
    <t>DOS PUERTOS HABILITADOS</t>
  </si>
  <si>
    <t>SPEEDMEEN</t>
  </si>
  <si>
    <t>SMREG 1200W</t>
  </si>
  <si>
    <t>20REG1200021022</t>
  </si>
  <si>
    <t>TECLADO WIRELESS</t>
  </si>
  <si>
    <t>1V2015mm</t>
  </si>
  <si>
    <t>19711983201241</t>
  </si>
  <si>
    <t>PARA EXAMEN VISUAL, CON CABLE DE DATOS</t>
  </si>
  <si>
    <t>19711983201741</t>
  </si>
  <si>
    <t>GRIS-AMARILLO</t>
  </si>
  <si>
    <t>1971983201741</t>
  </si>
  <si>
    <t>PARA PRUEBAS DE MOTRICIDAD, CABLE DE DATOS</t>
  </si>
  <si>
    <t>PARA PRUEBAS DE MOTRICIDAD Y AUDITIVAS CON 2 CABLES DE DATOS</t>
  </si>
  <si>
    <t>AUDIFONOS</t>
  </si>
  <si>
    <t>HD280PRO</t>
  </si>
  <si>
    <t>5390</t>
  </si>
  <si>
    <t>PARA PRUEBAS AUDITIVAS, CON  CABLE DE AUDIO</t>
  </si>
  <si>
    <t>VISIÓMETRO</t>
  </si>
  <si>
    <t>L3110</t>
  </si>
  <si>
    <t>X644665316</t>
  </si>
  <si>
    <t>DE TINTA CONTINUA A COLORES</t>
  </si>
  <si>
    <t>CAMARA WEB</t>
  </si>
  <si>
    <t>ROJA</t>
  </si>
  <si>
    <t>SPEDMEND</t>
  </si>
  <si>
    <t>SM07W159</t>
  </si>
  <si>
    <t>PARA TOMAR LAS FOTOGRAFIAS A LOS EXAMINADOS</t>
  </si>
  <si>
    <t>MERCUSYS</t>
  </si>
  <si>
    <t>AC12G</t>
  </si>
  <si>
    <t>22132A8003933</t>
  </si>
  <si>
    <t>4 PUERTOS RJ45 Y CABLE DE ENERGIA</t>
  </si>
  <si>
    <t>G6AY747007NN</t>
  </si>
  <si>
    <t>S19A10N</t>
  </si>
  <si>
    <t>ZT14H4LC401997A</t>
  </si>
  <si>
    <t>S19C150F</t>
  </si>
  <si>
    <t>ZYJ2H4LD712664R</t>
  </si>
  <si>
    <t>QC-4583</t>
  </si>
  <si>
    <t>ADWEIXUN</t>
  </si>
  <si>
    <t>APC</t>
  </si>
  <si>
    <t>BV800</t>
  </si>
  <si>
    <t>9B1939A07079</t>
  </si>
  <si>
    <t>QC4583</t>
  </si>
  <si>
    <t>1971198320121</t>
  </si>
  <si>
    <t>4517</t>
  </si>
  <si>
    <t>L300</t>
  </si>
  <si>
    <t>UNEK001642</t>
  </si>
  <si>
    <t>GRIS-NEGRA</t>
  </si>
  <si>
    <t>COMPUTADOR PORTATIL</t>
  </si>
  <si>
    <t>INSPIRON 153520</t>
  </si>
  <si>
    <t>X7GP301960</t>
  </si>
  <si>
    <t>CAGATE</t>
  </si>
  <si>
    <t>SRD0NF1</t>
  </si>
  <si>
    <t>NAC59CMO</t>
  </si>
  <si>
    <t>1 TERRABIT Y CABLE DE DATOS</t>
  </si>
  <si>
    <t>CON TINTA CONTINUA A COLORES CABLE DE DATOS Y CABLE DE ENERGIA</t>
  </si>
  <si>
    <t>FORZA</t>
  </si>
  <si>
    <t>FVR-1221USB</t>
  </si>
  <si>
    <t>2405-18637791</t>
  </si>
  <si>
    <t>DE 8 TOMAS Y 2 DE USB</t>
  </si>
  <si>
    <t>HP435</t>
  </si>
  <si>
    <t>00194-912-060-753</t>
  </si>
  <si>
    <t>WINDOWS 2009, PROCESADOR: ADM ATHOM (TH) II P360 DUAL-CORE PROCESOR 2.30 GHZ, RAM 2 GB, 64 BITS, INTERNET WIFI Y CABLE</t>
  </si>
  <si>
    <t>MNDX110</t>
  </si>
  <si>
    <t>XTGP301965</t>
  </si>
  <si>
    <t>2405-18633471</t>
  </si>
  <si>
    <t>DX-110</t>
  </si>
  <si>
    <t>X2L96548901359</t>
  </si>
  <si>
    <t>L555</t>
  </si>
  <si>
    <t>S4VY113976</t>
  </si>
  <si>
    <t>NEGRO/AZUL</t>
  </si>
  <si>
    <t>DE 8 TOMAS</t>
  </si>
  <si>
    <t xml:space="preserve">PARLANTES </t>
  </si>
  <si>
    <t>NEGRO Y GRIS</t>
  </si>
  <si>
    <t>S-20121</t>
  </si>
  <si>
    <t>CON CABLE DE SONIDO Y ENERGIA</t>
  </si>
  <si>
    <t>3856130601122</t>
  </si>
  <si>
    <t>ADVANTEK</t>
  </si>
  <si>
    <t>ANS-16P</t>
  </si>
  <si>
    <t>0647E010005</t>
  </si>
  <si>
    <t>DE 16 TOMAS PARA CABLES DE RED RJ45</t>
  </si>
  <si>
    <t>6808110700138</t>
  </si>
  <si>
    <t>NEGRO/GRIS</t>
  </si>
  <si>
    <t>WINDOWS 10 PRO, PROCESADOR: INTEL R CORE TM i5-2300, 2.80 GHZ, RAM 4 GB, 64 BITS, INTERNET POR CABLE</t>
  </si>
  <si>
    <t>3856130601360</t>
  </si>
  <si>
    <t>AOK</t>
  </si>
  <si>
    <t>E2070S</t>
  </si>
  <si>
    <t xml:space="preserve">19.5" </t>
  </si>
  <si>
    <t>V300-G-ID</t>
  </si>
  <si>
    <t>6339152700612</t>
  </si>
  <si>
    <t>AX1500</t>
  </si>
  <si>
    <t>X2000RM8801355V1.0</t>
  </si>
  <si>
    <t>CONECTIVIDAD A DISPOSITIVOS TECNOLÓGICOS</t>
  </si>
  <si>
    <t>RICHO</t>
  </si>
  <si>
    <t>MPC3504EX</t>
  </si>
  <si>
    <t>C85226864</t>
  </si>
  <si>
    <t>COPIADORA E IMPRESORA A COLOR</t>
  </si>
  <si>
    <t>PASILLO GRADAS</t>
  </si>
  <si>
    <t>ALARMA</t>
  </si>
  <si>
    <t>BLANCO/ROJO</t>
  </si>
  <si>
    <t>SONIDO DE ADVERTENCIA SEGÚN LOS SENSORES</t>
  </si>
  <si>
    <t>CONTROL DE ALARMAS Y SENSORES</t>
  </si>
  <si>
    <t>PARA CONFIGURACIÓN DE LOS SENSORES</t>
  </si>
  <si>
    <t>AVRINS2000VA</t>
  </si>
  <si>
    <t>19C04206298</t>
  </si>
  <si>
    <t>X5E8213735</t>
  </si>
  <si>
    <t>EXOS 7E2</t>
  </si>
  <si>
    <t>ZDS0J5VZ/ZDS0J5C5</t>
  </si>
  <si>
    <t>RESPALDOS DE INFORMACIÓN</t>
  </si>
  <si>
    <t>NEGRA</t>
  </si>
  <si>
    <t>VOLTECH</t>
  </si>
  <si>
    <t>MUL-6E</t>
  </si>
  <si>
    <t>DE 6 TOMAS</t>
  </si>
  <si>
    <t>AVR1500M</t>
  </si>
  <si>
    <t>TVBOX</t>
  </si>
  <si>
    <t>MXPRO4K</t>
  </si>
  <si>
    <t>54011b1daf1f</t>
  </si>
  <si>
    <t>TELEVISIÓN PLASMA</t>
  </si>
  <si>
    <t>UN70BU8000KXZL</t>
  </si>
  <si>
    <t>0DG43CCT400730E</t>
  </si>
  <si>
    <t>CONTROL REMOTO</t>
  </si>
  <si>
    <t>CONTROL Y MANEJO DE LA TV</t>
  </si>
  <si>
    <t>CONTROL DEL TVBOX</t>
  </si>
  <si>
    <t>DOS TOMAS PARA RJ45</t>
  </si>
  <si>
    <t>DOS TOMAS PARA RJ46</t>
  </si>
  <si>
    <t>DOS TOMAS PARA RJ47</t>
  </si>
  <si>
    <t>DOS TOMAS PARA RJ48</t>
  </si>
  <si>
    <t>DOS TOMAS PARA RJ49</t>
  </si>
  <si>
    <t>DOS TOMAS PARA RJ50</t>
  </si>
  <si>
    <t>DOS TOMAS PARA RJ51</t>
  </si>
  <si>
    <t>DOS TOMAS PARA RJ52</t>
  </si>
  <si>
    <t>DOS TOMAS PARA RJ53</t>
  </si>
  <si>
    <t>DOS TOMAS PARA RJ54</t>
  </si>
  <si>
    <t>CPU-1</t>
  </si>
  <si>
    <t>MONITOR-1</t>
  </si>
  <si>
    <t>TECLADO-1</t>
  </si>
  <si>
    <t>MOUSE-1</t>
  </si>
  <si>
    <t>CPU-2</t>
  </si>
  <si>
    <t>MONITOR-2</t>
  </si>
  <si>
    <t>TECLADO-2</t>
  </si>
  <si>
    <t>MOUSE-2</t>
  </si>
  <si>
    <t>CPU-3</t>
  </si>
  <si>
    <t>MONITOR-3</t>
  </si>
  <si>
    <t>TECLADO-3</t>
  </si>
  <si>
    <t>MOUSE-3</t>
  </si>
  <si>
    <t>CPU-4</t>
  </si>
  <si>
    <t>MONITOR-4</t>
  </si>
  <si>
    <t>TECLADO-4</t>
  </si>
  <si>
    <t>MOUSE-4</t>
  </si>
  <si>
    <t>CPU-5</t>
  </si>
  <si>
    <t>MONITOR-5</t>
  </si>
  <si>
    <t>TECLADO-5</t>
  </si>
  <si>
    <t>MOUSE-5</t>
  </si>
  <si>
    <t>CPU-6</t>
  </si>
  <si>
    <t>MONITOR-6</t>
  </si>
  <si>
    <t>TECLADO-7</t>
  </si>
  <si>
    <t>MOUSE-7</t>
  </si>
  <si>
    <t>CPU-7</t>
  </si>
  <si>
    <t>TECLADO-6</t>
  </si>
  <si>
    <t>MOUSE-6</t>
  </si>
  <si>
    <t>MONITOR-7</t>
  </si>
  <si>
    <t>CPU-8</t>
  </si>
  <si>
    <t>MONITOR-8</t>
  </si>
  <si>
    <t>TECLADO-8</t>
  </si>
  <si>
    <t>MOUSE-8</t>
  </si>
  <si>
    <t>CPU-9</t>
  </si>
  <si>
    <t>MONITOR-9</t>
  </si>
  <si>
    <t>TECLADO-9</t>
  </si>
  <si>
    <t>MOUSE-9</t>
  </si>
  <si>
    <t>CPU-10</t>
  </si>
  <si>
    <t>MONITOR-10</t>
  </si>
  <si>
    <t>TECLADO-10</t>
  </si>
  <si>
    <t>MOUSE-10</t>
  </si>
  <si>
    <t>CPU-11</t>
  </si>
  <si>
    <t>MONITOR-11</t>
  </si>
  <si>
    <t>TECLADO-11</t>
  </si>
  <si>
    <t>MOUSE-11</t>
  </si>
  <si>
    <t>CPU-12</t>
  </si>
  <si>
    <t>MONITOR-12</t>
  </si>
  <si>
    <t>TECLADO-13</t>
  </si>
  <si>
    <t>MOUSE-13</t>
  </si>
  <si>
    <t>TECLADO-12</t>
  </si>
  <si>
    <t>MOUSE-12</t>
  </si>
  <si>
    <t>CPU-13</t>
  </si>
  <si>
    <t>MONITOR-13</t>
  </si>
  <si>
    <t>CPU-14</t>
  </si>
  <si>
    <t>MONITOR-14</t>
  </si>
  <si>
    <t>TECLADO-14</t>
  </si>
  <si>
    <t>MOUSE-14</t>
  </si>
  <si>
    <t>CPU-15</t>
  </si>
  <si>
    <t>MONITOR-15</t>
  </si>
  <si>
    <t>TECLADO-15</t>
  </si>
  <si>
    <t>MOUSE-15</t>
  </si>
  <si>
    <t>DE 19", CONECCIÓN VGA CON CLABELDE ENERGIA Y DATOS</t>
  </si>
  <si>
    <t>REGULADOR-1</t>
  </si>
  <si>
    <t>REGULADOR-2</t>
  </si>
  <si>
    <t>REGULADOR-3</t>
  </si>
  <si>
    <t>REGULADOR-4</t>
  </si>
  <si>
    <t>REGULADOR-5</t>
  </si>
  <si>
    <t>REGULADOR-6</t>
  </si>
  <si>
    <t>REGULADOR-7</t>
  </si>
  <si>
    <t>REGULADOR-8</t>
  </si>
  <si>
    <t>CAJETIN DE RED-1</t>
  </si>
  <si>
    <t>CAJETIN DE RED-2</t>
  </si>
  <si>
    <t>CAJETIN DE RED-3</t>
  </si>
  <si>
    <t>CAJETIN DE RED-4</t>
  </si>
  <si>
    <t>CAJETIN DE RED-5</t>
  </si>
  <si>
    <t>CAJETIN DE RED-6</t>
  </si>
  <si>
    <t>CAJETIN DE RED-7</t>
  </si>
  <si>
    <t>CAJETIN DE RED-8</t>
  </si>
  <si>
    <t>CAJETIN DE RED-9</t>
  </si>
  <si>
    <t>CAJETIN DE RED-10</t>
  </si>
  <si>
    <t>BODEGA SUMINISTROS</t>
  </si>
  <si>
    <t>ZT14H4LC40274TY</t>
  </si>
  <si>
    <t>GK-070008/U</t>
  </si>
  <si>
    <t>ZCE8V5301760</t>
  </si>
  <si>
    <t>M312</t>
  </si>
  <si>
    <t>M3121110063487</t>
  </si>
  <si>
    <t>PCSIONCOREI5</t>
  </si>
  <si>
    <t>WINDOWS 8.1 ENTERPRISE, PROCESADOR: INTEL ® R CORE TM i5-3330 CPU, 3.00 GHZ, RAM 4 GB, 64 BITS, INTERNET ALÁMBRICO</t>
  </si>
  <si>
    <t>WINDOWS 8.1 ENTERPRISE, PROCESADOR: INTEL ® R CORE TM i5-2310 CPU, 2.90.00 GHZ, RAM 4 GB, 64 BITS, INTERNET ALÁMBRICO</t>
  </si>
  <si>
    <t>K50151110000482</t>
  </si>
  <si>
    <t>M3121110063322</t>
  </si>
  <si>
    <t>WINDOWS 8.1 INTERPRISE, PROCESADOR: INTEL ® R CORE TM i5-4460 CPU, 3.20.00 GHZ, RAM 4 GB, 64 BITS, INTERNET ALÁMBRICO</t>
  </si>
  <si>
    <t>GRIS/NEGRO</t>
  </si>
  <si>
    <t>KL-0210</t>
  </si>
  <si>
    <t>3912A734</t>
  </si>
  <si>
    <t>M3121110062614</t>
  </si>
  <si>
    <t>WINDOWS 8.1 INTERPRISE, PROCESADOR: INTEL ® R CORE TM i5-2320 CPU, 3.00 GHZ, RAM 4 GB, 64 BITS, INTERNET ALÁMBRICO</t>
  </si>
  <si>
    <t>SAMNSUNG</t>
  </si>
  <si>
    <t>K627</t>
  </si>
  <si>
    <t>ZM5727170016</t>
  </si>
  <si>
    <t>NEGRO/TRANSPARENTE</t>
  </si>
  <si>
    <t>X5D90300603163</t>
  </si>
  <si>
    <t>WINDOWS 8.1 INTERPRISE, PROCESADOR: INTEL ® R CORE TM i5-2310 CPU, 2.90 GHZ, RAM 4 GB, 64 BITS, INTERNET ALÁMBRICO</t>
  </si>
  <si>
    <t>19M2705681</t>
  </si>
  <si>
    <t>M3121110053297</t>
  </si>
  <si>
    <t>19M2705687</t>
  </si>
  <si>
    <t>DX-160</t>
  </si>
  <si>
    <t>D19M2705687</t>
  </si>
  <si>
    <t>ZIP</t>
  </si>
  <si>
    <t>WINDOWS 8.1 INTERPRISE, PROCESADOR: INTEL ® R CORE TM i5-2310 CPU, 3.90 GHZ, RAM 4 GB, 64 BITS, INTERNET ALÁMBRICO</t>
  </si>
  <si>
    <t>LV1911</t>
  </si>
  <si>
    <t>6CM2113016R</t>
  </si>
  <si>
    <t>19M2705683</t>
  </si>
  <si>
    <t>GM-0500</t>
  </si>
  <si>
    <t>141373302156</t>
  </si>
  <si>
    <t>WINDOWS 8.1 INTERPRISE, PROCESADOR: INTEL ® R CORE TM i5-2109CPU, 3.90 GHZ, RAM 4 GB, 64 BITS, INTERNET ALÁMBRICO</t>
  </si>
  <si>
    <t>ZT14H4NC201948X</t>
  </si>
  <si>
    <t>GK-1011</t>
  </si>
  <si>
    <t>WE150WB12194</t>
  </si>
  <si>
    <t>33GB84721700117</t>
  </si>
  <si>
    <t>WINDOWS 8.1 INTERPRISE, PROCESADOR: INTEL ® R CORE TM 2DUO CPU, E4600 2.40 GHZ, RAM 1.5 GB, 64 BITS, INTERNET ALÁMBRICO</t>
  </si>
  <si>
    <t>K50151110000241</t>
  </si>
  <si>
    <t>DX160</t>
  </si>
  <si>
    <t>B1930N</t>
  </si>
  <si>
    <t>YC5RH9MB509363B</t>
  </si>
  <si>
    <t>K50151110000367</t>
  </si>
  <si>
    <t>UD19M2705683</t>
  </si>
  <si>
    <t>W1942ST</t>
  </si>
  <si>
    <t>812MXDM0A554</t>
  </si>
  <si>
    <t>NEGRO/ROJO</t>
  </si>
  <si>
    <t>3856130600473</t>
  </si>
  <si>
    <t>JEUANG</t>
  </si>
  <si>
    <t>WINDOWS 8.1 INTERPRISE, PROCESADOR: INTEL ® R CORE TM i5-3330 CPU, 3.00 GHZ, RAM 4 GB, 64 BITS, INTERNET ALÁMBRICO</t>
  </si>
  <si>
    <t>UD19M2705688</t>
  </si>
  <si>
    <t>M3121110062790</t>
  </si>
  <si>
    <t>UD19M2705684</t>
  </si>
  <si>
    <t>SIONCOREI5SAM20</t>
  </si>
  <si>
    <t>WINDOWS 8.1 INTERPRISE, PROCESADOR: INTEL ® R CORE TM i5-4460 CPU, 3.20 GHZ, RAM 4 GB, 64 BITS, INTERNET ALÁMBRICO</t>
  </si>
  <si>
    <t>K50151110000106</t>
  </si>
  <si>
    <t>19M2705688</t>
  </si>
  <si>
    <t>QAVR-1050BL</t>
  </si>
  <si>
    <t>194913332851</t>
  </si>
  <si>
    <t>3856130600463</t>
  </si>
  <si>
    <t>3856130601394</t>
  </si>
  <si>
    <t>194913332855</t>
  </si>
  <si>
    <t>NEGRO VERDE</t>
  </si>
  <si>
    <t>194913333582</t>
  </si>
  <si>
    <t>194913333578</t>
  </si>
  <si>
    <t>NEGRO AMARILLO</t>
  </si>
  <si>
    <t>194913334061</t>
  </si>
  <si>
    <t>194913334066</t>
  </si>
  <si>
    <t>194913332847</t>
  </si>
  <si>
    <t>NEGRO VINO</t>
  </si>
  <si>
    <t>WINDOWS 8.1 ENTERPRISE, PROCESADOR: INTEL ® R CORE TM i7-3770 CPU, 3.40 GHZ, RAM 4 GB, 64 BITS, INTERNET ALÁMBRICO</t>
  </si>
  <si>
    <t>QM-B20</t>
  </si>
  <si>
    <t>CA31987071652</t>
  </si>
  <si>
    <t>KB-117</t>
  </si>
  <si>
    <t>31H96036700848</t>
  </si>
  <si>
    <t>NEGRO ROJO</t>
  </si>
  <si>
    <t>X2L96540201336</t>
  </si>
  <si>
    <t>SMARTLIFE</t>
  </si>
  <si>
    <t>HILOOK</t>
  </si>
  <si>
    <t>VISION EN MOVIL GIRATORIA</t>
  </si>
  <si>
    <t>CALLE PRINCIPAL</t>
  </si>
  <si>
    <t>194913332848</t>
  </si>
  <si>
    <t>AVP1500M</t>
  </si>
  <si>
    <t>AVR1600</t>
  </si>
  <si>
    <t>NEBGRO/AZUL</t>
  </si>
  <si>
    <t>6CM213015N</t>
  </si>
  <si>
    <t>NEGRO/CROMADO</t>
  </si>
  <si>
    <t>HB-M098</t>
  </si>
  <si>
    <t>NEGROCROMADO</t>
  </si>
  <si>
    <t>HB-548D</t>
  </si>
  <si>
    <t>X5E8213733</t>
  </si>
  <si>
    <t>WINDOWS 8.1 INTERPRISE, PROCESADOR: INTEL ® R CORE TM i3-9100F CPU, 3.60 GHZ, RAM 4 GB, 64 BITS, INTERNET ALÁMBRICO</t>
  </si>
  <si>
    <t>911NTJJ1T164</t>
  </si>
  <si>
    <t>ABR1600SN</t>
  </si>
  <si>
    <t>T-PLINK</t>
  </si>
  <si>
    <t>TN-SG108</t>
  </si>
  <si>
    <t>22361E5003891</t>
  </si>
  <si>
    <t>PARLANTES</t>
  </si>
  <si>
    <t>HUAWEI</t>
  </si>
  <si>
    <t>ECHOLIFE HG8546M</t>
  </si>
  <si>
    <t>2015DP0479</t>
  </si>
  <si>
    <t>DE 6 PUERTOS PARA RJ45 Y 1 DE USB</t>
  </si>
  <si>
    <t>XTGP288327</t>
  </si>
  <si>
    <t>19C04206303</t>
  </si>
  <si>
    <t>MULTIMEDIASPEAKER</t>
  </si>
  <si>
    <t>S-2012U</t>
  </si>
  <si>
    <t>PARLANTES USB</t>
  </si>
  <si>
    <t>HACER</t>
  </si>
  <si>
    <t>ASPIREONE 725-0480</t>
  </si>
  <si>
    <t>NUSGPAL00921916F7D7600</t>
  </si>
  <si>
    <t>HOSTAL</t>
  </si>
  <si>
    <t>DE 8 TOMAS PARA CABLE RJ45, CON CABLE DE ENERGIA</t>
  </si>
  <si>
    <t>WINDOWS 7 STARTER, PROCESADOR: AMD C-60 APU WITH RADEMO™ HD GRAPHICS, 1.00 GHZ, RAM 2 GB, 32 BITS, INTERNET INALAMBRICO Y POR CABLE, CARGADOR DE ENERGIA</t>
  </si>
  <si>
    <t>DVR</t>
  </si>
  <si>
    <t>UPS DE ENERGIA</t>
  </si>
  <si>
    <t>WINDOWS 11 PRO, PROCESADOR: 11TH GEN INTEL ® CORE TM i5-1135G7, 2.40 GHZ, RAM 8 GB, 64 BITS, INTERNET WIFI Y CABLE, CABLE DE ENERGIA</t>
  </si>
  <si>
    <t>WINDOWS 11 PRO, PROCESADOR: INTEL ® R CORE TM i5-1035G1 CPU, 1.00 GHZ, RAM 8 GB, 64 BITS, INTERNET WIFI Y CABLE, CABLE DE ENERGIA</t>
  </si>
  <si>
    <t>UCM6301</t>
  </si>
  <si>
    <t>25QK6SYN519F8EA4</t>
  </si>
  <si>
    <t>R230</t>
  </si>
  <si>
    <t>CUARTO DE RED</t>
  </si>
  <si>
    <t>POWWEREDGE</t>
  </si>
  <si>
    <t>8T72D</t>
  </si>
  <si>
    <t>PENTAHIBRIDO</t>
  </si>
  <si>
    <t>1080P</t>
  </si>
  <si>
    <t>CON 16 CANALES</t>
  </si>
  <si>
    <t>DE 8 PUERTOS</t>
  </si>
  <si>
    <t>TECHUPS-1500VA</t>
  </si>
  <si>
    <t>UPS 1500VA</t>
  </si>
  <si>
    <t>900W</t>
  </si>
  <si>
    <t>DE 19", CONECCIÓN VGA CON CABLE DE ENERGIA Y DATOS PARA VISUALIZAR LAS CÁMARAS DE SEGURIDAD</t>
  </si>
  <si>
    <t>DE 19", CONECCIÓN VGA CON CABLE DE ENERGIA Y DATOS PARA VISUALIZAR EL ESTADO DEL CPU (SERVIDOR SISTEMA CONTABLE)</t>
  </si>
  <si>
    <t>WINDOWS 7 INTERPRISE, PROCESADOR: INTEL ® R CORE TM i7-3770 CPU, 3.40 GHZ, RAM 8 GB, 64 BITS, SIN CONECCIÓN A INTERNET</t>
  </si>
  <si>
    <t>DISCO DURO EXTERNO</t>
  </si>
  <si>
    <t>ANERA</t>
  </si>
  <si>
    <t>ADAPTADOR DE INTERNET USB</t>
  </si>
  <si>
    <t>SB208B</t>
  </si>
  <si>
    <t>CONVIERTE LA SEÑAL DE INTERNET DE USB A RJ45</t>
  </si>
  <si>
    <t>ADATA</t>
  </si>
  <si>
    <t>HD770G-2T</t>
  </si>
  <si>
    <t>1K0620262633</t>
  </si>
  <si>
    <t>CAPACIDAD DE UN TERRA BIT</t>
  </si>
  <si>
    <t>GRABADORA DE VOZ</t>
  </si>
  <si>
    <t>SONY</t>
  </si>
  <si>
    <t>ICD-PX470</t>
  </si>
  <si>
    <t>GRABADORA DE VOZ, BATERIA 1.5 UVX2 , AAA</t>
  </si>
  <si>
    <t>ALAMBRICO, LED, DISEÑO ERGONÓMICO</t>
  </si>
  <si>
    <t>ALAMBRICO, LED, OPTICO</t>
  </si>
  <si>
    <t>ALAMBRICO, LED, DISEÑO ERGON+OMICO COMPACTO</t>
  </si>
  <si>
    <t>ALAMBRICO Y LUZ LED, USB</t>
  </si>
  <si>
    <t>MOUSE WIRELESS 1.5V, INALAMBRICO</t>
  </si>
  <si>
    <t>ALAMBRICO, LUZ LED, DISEÑO ERGOÓMICO</t>
  </si>
  <si>
    <t>ALAMBRICO, LUZ LED, DISEÑO ERGONÍMICO</t>
  </si>
  <si>
    <t>CON CABLE DE AUDIO Y ENERGIA, REDONDOS</t>
  </si>
  <si>
    <t>CON SOPORTE AEREO, CABLE DE SONIO DE 20 m. Y CABLE DE ENERGIA, 1 BAJO Y 2 TWITERS</t>
  </si>
  <si>
    <t xml:space="preserve">CON SOPORTE AEREO, CABLE DE SONIO Y CABLE DE ENERGIA, 1 BAJO Y DOS TWITER </t>
  </si>
  <si>
    <t>CON SOPORTE AEREO, CABLE DE SONIO DE 20 m.</t>
  </si>
  <si>
    <t>AULA-MEC</t>
  </si>
  <si>
    <t>SERVIDOR DE RED</t>
  </si>
  <si>
    <t>CORTA PICOS</t>
  </si>
  <si>
    <t>DE 8 TOMAS, 120V-60HZ, 2 PUERTOS RJ11 PARA TELÉFONO</t>
  </si>
  <si>
    <t>DE 8 TOMAS, 120V-60HZ Y DOS TOMAS RJ11PARA TELÉFONO</t>
  </si>
  <si>
    <t>DE 8 TOMAS, 120V-60HZ Y DOS TOMAS RJ11 PARA TELÉFONO</t>
  </si>
  <si>
    <t>DE 6 TOMAS, 120V-60HZ. ACUMULADOR DE ENERGIA X 15min</t>
  </si>
  <si>
    <t>DE 8 TOMAS, 200V</t>
  </si>
  <si>
    <t>DE 8 TOMAS, 2000va</t>
  </si>
  <si>
    <t>DE 8 TOMAS Y DOS TOMAS RJ 11 DE TELÉFONO, 1000va</t>
  </si>
  <si>
    <t>CON 8 TOMAS Y 2 TOMAS RJ 11 DE TELÉFONO, 200v</t>
  </si>
  <si>
    <t>CON 8 TOMAS Y 2 DE TELÉFONO, 2000va</t>
  </si>
  <si>
    <t>ZK-TECO</t>
  </si>
  <si>
    <t>Reconocimiento biométrico preciso: Utiliza algoritmos de vanguardia para garantizar una identificación precisa de huellas dactilares.
Diseño compacto y elegante: Su diseño estilizado se adapta fácilmente a cualquier entorno y brinda una apariencia moderna.</t>
  </si>
  <si>
    <t>LÁMPARA DE EMERGENCIA</t>
  </si>
  <si>
    <t>SIYLVIANA</t>
  </si>
  <si>
    <t>LUNINARIA DE EMERGENCIA R-1 MINI, FACIL DE MANTENIMIENTO. -DISEÑO COMPACTO CHASIS TERMOPLÁSTICO RETARDANTE AL FUEGO.  -LUZ LED.</t>
  </si>
  <si>
    <t>3 REGLETAS PARA CABLES RJ45, 1 REGLETA ELECTRICA, SISTEMA OPERATIVO LINUX, ALOJA PAGINA WEB, PLATAFORMA EVA, TINE DOS DISCOS DUROS DE 2 TB CADA UNO</t>
  </si>
  <si>
    <t>DE 5 PUERTOS RJ45, TIPO DE COMUNICACIÓN STORE AND FORWARD</t>
  </si>
  <si>
    <t>ALAMBRICO, HERGONÓMICO, CONECTOR USB, CON TECLADO NUMÉRICO</t>
  </si>
  <si>
    <t>ALAMBRICO, HERGONÓMICO, VARIOS USOS, CONECTOR USB</t>
  </si>
  <si>
    <t>ALAMBRICO, CONECTOR USB, COMPATIBLE PARA JUEGOS, TECLADO NUMÉRICO.</t>
  </si>
  <si>
    <t>ALAMBRICO, TECLADO ALFANUMÉRICO, TECLAS ESPECIALES, CONECCIÓN USB.</t>
  </si>
  <si>
    <t>TIPO DE CONTROL REMOTO DE VOZ, CONECTIVIDAD WIFI Y BLUETOOTH,INTERFAZ DE CONEXIÓN AV, PUERTO: DC JACK.</t>
  </si>
  <si>
    <t>ACUMULADOR DE ENERGIA POR 30 MINUTOS, POTENCIA MÁXIMA DE 2000VA PARA UNA PROTECCIÓN ENERGÉTICA EFICIENTE</t>
  </si>
  <si>
    <t xml:space="preserve">AULA-E2 </t>
  </si>
  <si>
    <t>RECONOCIMIENTO BIOMÉTRICO PRECISO: Utiliza algoritmos de vanguardia para garantizar una identificación precisa de huellas dactilares.
Diseño compacto y elegante: Su diseño estilizado se adapta fácilmente a cualquier entorno y brinda una apariencia moderna.</t>
  </si>
  <si>
    <t>NRO</t>
  </si>
  <si>
    <t xml:space="preserve">UBICACIÓN </t>
  </si>
  <si>
    <t>BODEGA GRANDE</t>
  </si>
  <si>
    <t>TOTAL:</t>
  </si>
  <si>
    <t>SECRETARÍA AACC Y ESCUELA</t>
  </si>
  <si>
    <t>CARACTERÍSTICAS</t>
  </si>
  <si>
    <t>FECHA</t>
  </si>
  <si>
    <t>PLASMA DE 70", CONECTIVIDAD WIFI, USB Y HDMI</t>
  </si>
  <si>
    <t>VISION EN MOVIL GIRATORIA, CON ALARMA, TARGETA MICRO DE 64 GB</t>
  </si>
  <si>
    <t>USB DE 64 GB</t>
  </si>
  <si>
    <t>FECHA:</t>
  </si>
  <si>
    <t>INGRESE CÓDIGO:</t>
  </si>
  <si>
    <t>PRODUCTO:</t>
  </si>
  <si>
    <t>CANTIDAD:</t>
  </si>
  <si>
    <t>COLOR:</t>
  </si>
  <si>
    <t>MARCA:</t>
  </si>
  <si>
    <t>MODELO:</t>
  </si>
  <si>
    <t>SERIE:</t>
  </si>
  <si>
    <t>UBICACIÓN:</t>
  </si>
  <si>
    <t>ESTADO:</t>
  </si>
  <si>
    <t>COSTO:</t>
  </si>
  <si>
    <t>CÓDIGO:</t>
  </si>
  <si>
    <t>GK-100011</t>
  </si>
  <si>
    <t>WE150EB12192</t>
  </si>
  <si>
    <t>K50151110000420</t>
  </si>
  <si>
    <t>6808110701472</t>
  </si>
  <si>
    <t>K50151110000447</t>
  </si>
  <si>
    <t>HAVIT</t>
  </si>
  <si>
    <t>HV-K802M</t>
  </si>
  <si>
    <t>KB11K802KL</t>
  </si>
  <si>
    <t>GB-080025</t>
  </si>
  <si>
    <t>X74919101105</t>
  </si>
  <si>
    <t>DES-1008A</t>
  </si>
  <si>
    <t>DS-7108HGHI-E1</t>
  </si>
  <si>
    <t>539831535</t>
  </si>
  <si>
    <t>8 PUERTOS</t>
  </si>
  <si>
    <t>MUL-645</t>
  </si>
  <si>
    <t>CAJETINES RJ45</t>
  </si>
  <si>
    <t>VETO</t>
  </si>
  <si>
    <t>DE BAJA</t>
  </si>
  <si>
    <t>TRIPPLIKE</t>
  </si>
  <si>
    <t>PRO550</t>
  </si>
  <si>
    <t>9749CY0OM68200555</t>
  </si>
  <si>
    <t>DE 3 TOMAS CON CONEXIÓN A TIERRA</t>
  </si>
  <si>
    <t>PARLANTE</t>
  </si>
  <si>
    <t>3856130600189</t>
  </si>
  <si>
    <t>CONVERTIDOR HDMI/VGA</t>
  </si>
  <si>
    <t>VGA</t>
  </si>
  <si>
    <t>EZONICS</t>
  </si>
  <si>
    <t>EZ-037</t>
  </si>
  <si>
    <t>1206SPCA561A</t>
  </si>
  <si>
    <t>GRANDSTREM</t>
  </si>
  <si>
    <t>GXP1610</t>
  </si>
  <si>
    <t>20EZ1QHKB019F56E</t>
  </si>
  <si>
    <t>PLUBS DE SONIDO</t>
  </si>
  <si>
    <t>ROXTONE</t>
  </si>
  <si>
    <t>RMJ3PPS-65</t>
  </si>
  <si>
    <t>505G</t>
  </si>
  <si>
    <t>508MXPH0A104</t>
  </si>
  <si>
    <t>20EN33</t>
  </si>
  <si>
    <t>309NDXQCG530</t>
  </si>
  <si>
    <t>BASES DE MONITOR</t>
  </si>
  <si>
    <t>VEGA</t>
  </si>
  <si>
    <t>03872915</t>
  </si>
  <si>
    <t>PANTALLAS PARA PROYECTOR</t>
  </si>
  <si>
    <t>DINON</t>
  </si>
  <si>
    <t>YM381238</t>
  </si>
  <si>
    <t xml:space="preserve">CABLES DE RED </t>
  </si>
  <si>
    <t>NEGRO/GRIS/AZUL</t>
  </si>
  <si>
    <t>CABLE DE RED</t>
  </si>
  <si>
    <t>CABLES VGA</t>
  </si>
  <si>
    <t>CABLES HDMI</t>
  </si>
  <si>
    <t>CABLE HDMI</t>
  </si>
  <si>
    <t>CONVERTIDOR VGA/HDMI</t>
  </si>
  <si>
    <t>MINI</t>
  </si>
  <si>
    <t>CABLES DE PODER</t>
  </si>
  <si>
    <t>CABLES DE ENERGIA GEMELO</t>
  </si>
  <si>
    <t>CABLE DE SONIDO</t>
  </si>
  <si>
    <t xml:space="preserve">TRANSPARENTE </t>
  </si>
  <si>
    <t>CABLE DE RED UTP</t>
  </si>
  <si>
    <t>CABLE DE DATOS IMPRESORA</t>
  </si>
  <si>
    <t>CABLE DE ENERGIA</t>
  </si>
  <si>
    <t>DE 4 PUERTOS RJ45, TIPO DE COMUNICACIÓN STORE AND FORWARD</t>
  </si>
  <si>
    <t>DE 2 PUERTOS PARA CONECTIVIDA A INTERNET</t>
  </si>
  <si>
    <t>CON NOCECTIVIDAD USB Y CABLE DE ENERGIA</t>
  </si>
  <si>
    <t>TRANSFORMA LA SEÑAL HDMI A VGA</t>
  </si>
  <si>
    <t>32 MEGAPIXELES</t>
  </si>
  <si>
    <t>PARA COMUNICACIÓN INTERNA</t>
  </si>
  <si>
    <t>PARA LOS PARLANTES DE LAS AULAS</t>
  </si>
  <si>
    <t>TECNOLOGIA CRT</t>
  </si>
  <si>
    <t>SOPORTES PARA MONITORES</t>
  </si>
  <si>
    <t>SOPORTE PARA PROYECTOR</t>
  </si>
  <si>
    <t>SOPORTES PARA TECHO DE PROYECTORES</t>
  </si>
  <si>
    <t>PANTALLA PLEGABLE DE 40 PULGADAS</t>
  </si>
  <si>
    <t>PANTALLA PLEGABLE DE 120 PULGADAS</t>
  </si>
  <si>
    <t>CON PUERTOS RJ45 DE 20 METROS</t>
  </si>
  <si>
    <t>CON PUERTOS RJ45 DE 5 METROS</t>
  </si>
  <si>
    <t>CON PUERTOS VGA DE 1.5 METROS</t>
  </si>
  <si>
    <t>CON PÚERTOS CGA DE 15 METROS</t>
  </si>
  <si>
    <t>CON PUERTOS HDMI DE 1.5 METROS</t>
  </si>
  <si>
    <t>CON PUERTOS HDMI DE 15 METROS</t>
  </si>
  <si>
    <t>CONVIERTE LA SEÑAL VGA A HDMI</t>
  </si>
  <si>
    <t>CABLES DE ENERGIA PARA PC DE 1.5 METROS</t>
  </si>
  <si>
    <t>CABLES DE ENERGIA DE 1.5 METROS</t>
  </si>
  <si>
    <t>CABLE DE SONIDO PARA PARLANTES</t>
  </si>
  <si>
    <t>CABLE DE RED UTP PARA CONECCIÓN A INTERNET</t>
  </si>
  <si>
    <t>CONECTIVIDAD DEL PC CON LA IMPRESORA</t>
  </si>
  <si>
    <t>H552A</t>
  </si>
  <si>
    <t>POWERLITE S18+</t>
  </si>
  <si>
    <t>CONECCIÓN VGA Y HDMI</t>
  </si>
  <si>
    <t>ASESORÍA TÉCNICA VIAL</t>
  </si>
  <si>
    <t>22132A8003937</t>
  </si>
  <si>
    <t xml:space="preserve">REGULADOR DE VOLTAJE </t>
  </si>
  <si>
    <t># EQUIPOS</t>
  </si>
  <si>
    <t>NVR</t>
  </si>
  <si>
    <t>TP_LINK</t>
  </si>
  <si>
    <t>ANALISIS  Hv, 2 AUDIO 60mbps, 6tb</t>
  </si>
  <si>
    <t>DISCO DURO</t>
  </si>
  <si>
    <t>WESTER DIGITAL</t>
  </si>
  <si>
    <t>PURPLE VIDEO VIGILANCIA</t>
  </si>
  <si>
    <t>BLANCO/NEGRO</t>
  </si>
  <si>
    <t>HIBRIDA</t>
  </si>
  <si>
    <t>HIBRIRA/2.8 mm/IR/IP67/AUDIO DUAL LIGHT/POE-DIST</t>
  </si>
  <si>
    <t>CAMARA</t>
  </si>
  <si>
    <t>DOMO</t>
  </si>
  <si>
    <t xml:space="preserve">1080P, LENTE 2.8MM ALIMENTACION 12v 700ma O POE </t>
  </si>
  <si>
    <t>DS-2CD1123GOE-I</t>
  </si>
  <si>
    <t>TPLINK</t>
  </si>
  <si>
    <t>OMADA</t>
  </si>
  <si>
    <t>ER7212PC</t>
  </si>
  <si>
    <t>SG3428</t>
  </si>
  <si>
    <t>EAP650</t>
  </si>
  <si>
    <t>RACK</t>
  </si>
  <si>
    <t>TENON</t>
  </si>
  <si>
    <t>9U</t>
  </si>
  <si>
    <t>PUERTA DE VIDRIO</t>
  </si>
  <si>
    <t>PUERTA DE VIDRIO LLAVE 0.6MMM</t>
  </si>
  <si>
    <t>MULTITOMA</t>
  </si>
  <si>
    <t>RACKEABLE</t>
  </si>
  <si>
    <t>15A</t>
  </si>
  <si>
    <t>HORIZONTAL DE 8 TOMAS 1 UNIDAD DE RACK</t>
  </si>
  <si>
    <t>RACKCUARTO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</si>
</sst>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2" fontId="0" fillId="0" borderId="1" xfId="0" applyNumberFormat="1" applyBorder="1"/>
    <xf numFmtId="0" fontId="0" fillId="0" borderId="1" xfId="0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5" borderId="0" xfId="0" applyFill="1"/>
    <xf numFmtId="0" fontId="0" fillId="6" borderId="0" xfId="0" applyFill="1"/>
    <xf numFmtId="14" fontId="0" fillId="0" borderId="0" xfId="0" applyNumberFormat="1"/>
    <xf numFmtId="2" fontId="0" fillId="0" borderId="2" xfId="0" applyNumberFormat="1" applyBorder="1"/>
    <xf numFmtId="2" fontId="0" fillId="3" borderId="2" xfId="0" applyNumberFormat="1" applyFill="1" applyBorder="1" applyAlignment="1">
      <alignment horizontal="center"/>
    </xf>
    <xf numFmtId="2" fontId="0" fillId="5" borderId="2" xfId="0" applyNumberFormat="1" applyFill="1" applyBorder="1"/>
    <xf numFmtId="14" fontId="0" fillId="0" borderId="1" xfId="0" applyNumberFormat="1" applyBorder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2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center"/>
    </xf>
    <xf numFmtId="43" fontId="2" fillId="0" borderId="1" xfId="1" applyFont="1" applyBorder="1"/>
    <xf numFmtId="43" fontId="2" fillId="0" borderId="0" xfId="1" applyFont="1"/>
    <xf numFmtId="1" fontId="2" fillId="0" borderId="1" xfId="0" applyNumberFormat="1" applyFont="1" applyBorder="1" applyAlignment="1">
      <alignment horizontal="center"/>
    </xf>
    <xf numFmtId="0" fontId="0" fillId="4" borderId="1" xfId="0" applyFill="1" applyBorder="1" applyAlignment="1" applyProtection="1">
      <alignment horizontal="left"/>
      <protection locked="0"/>
    </xf>
    <xf numFmtId="0" fontId="0" fillId="4" borderId="1" xfId="0" applyFill="1" applyBorder="1" applyAlignment="1">
      <alignment horizontal="left"/>
    </xf>
    <xf numFmtId="2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top" wrapText="1"/>
    </xf>
    <xf numFmtId="14" fontId="0" fillId="4" borderId="1" xfId="0" applyNumberFormat="1" applyFill="1" applyBorder="1" applyAlignment="1">
      <alignment horizontal="left"/>
    </xf>
    <xf numFmtId="2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BUSCA_PROD!A1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image" Target="../media/image7.png"/><Relationship Id="rId2" Type="http://schemas.openxmlformats.org/officeDocument/2006/relationships/hyperlink" Target="#EDITABLE!A1"/><Relationship Id="rId1" Type="http://schemas.openxmlformats.org/officeDocument/2006/relationships/image" Target="../media/image1.png"/><Relationship Id="rId6" Type="http://schemas.openxmlformats.org/officeDocument/2006/relationships/hyperlink" Target="#BUSCA_COD!A1"/><Relationship Id="rId11" Type="http://schemas.openxmlformats.org/officeDocument/2006/relationships/hyperlink" Target="#MEN&#218;!A1"/><Relationship Id="rId5" Type="http://schemas.openxmlformats.org/officeDocument/2006/relationships/image" Target="../media/image3.png"/><Relationship Id="rId10" Type="http://schemas.openxmlformats.org/officeDocument/2006/relationships/image" Target="../media/image6.jpeg"/><Relationship Id="rId4" Type="http://schemas.openxmlformats.org/officeDocument/2006/relationships/hyperlink" Target="#'RESUMEN X AREAS'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MEN&#218;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hyperlink" Target="#MEN&#218;!A1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MEN&#218;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hyperlink" Target="#MEN&#218;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7937</xdr:rowOff>
    </xdr:from>
    <xdr:to>
      <xdr:col>13</xdr:col>
      <xdr:colOff>36633</xdr:colOff>
      <xdr:row>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CE80FF-E9E9-4DCF-93A4-602A19788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37"/>
          <a:ext cx="9583614" cy="1135063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7</xdr:row>
      <xdr:rowOff>85724</xdr:rowOff>
    </xdr:from>
    <xdr:to>
      <xdr:col>3</xdr:col>
      <xdr:colOff>16875</xdr:colOff>
      <xdr:row>9</xdr:row>
      <xdr:rowOff>95249</xdr:rowOff>
    </xdr:to>
    <xdr:grpSp>
      <xdr:nvGrpSpPr>
        <xdr:cNvPr id="16" name="Grup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9D05DF-262A-9127-0242-58C178E47BCC}"/>
            </a:ext>
          </a:extLst>
        </xdr:cNvPr>
        <xdr:cNvGrpSpPr/>
      </xdr:nvGrpSpPr>
      <xdr:grpSpPr>
        <a:xfrm>
          <a:off x="142875" y="1419224"/>
          <a:ext cx="2160000" cy="390525"/>
          <a:chOff x="1181100" y="1590674"/>
          <a:chExt cx="2160000" cy="390525"/>
        </a:xfrm>
      </xdr:grpSpPr>
      <xdr:sp macro="" textlink="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49C0B8C1-6D41-F0FA-73C4-4C619E587B3C}"/>
              </a:ext>
            </a:extLst>
          </xdr:cNvPr>
          <xdr:cNvSpPr/>
        </xdr:nvSpPr>
        <xdr:spPr>
          <a:xfrm>
            <a:off x="1181100" y="1590675"/>
            <a:ext cx="2160000" cy="371475"/>
          </a:xfrm>
          <a:prstGeom prst="roundRect">
            <a:avLst/>
          </a:prstGeom>
          <a:solidFill>
            <a:srgbClr val="00B05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EC" sz="1600">
                <a:solidFill>
                  <a:sysClr val="windowText" lastClr="000000"/>
                </a:solidFill>
              </a:rPr>
              <a:t>INGRESAR DATOS</a:t>
            </a:r>
          </a:p>
        </xdr:txBody>
      </xdr: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149C36EA-9679-3717-28F2-9F9B69B10E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96108" y="1590674"/>
            <a:ext cx="380492" cy="390525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606666</xdr:colOff>
      <xdr:row>7</xdr:row>
      <xdr:rowOff>66676</xdr:rowOff>
    </xdr:from>
    <xdr:to>
      <xdr:col>11</xdr:col>
      <xdr:colOff>480666</xdr:colOff>
      <xdr:row>9</xdr:row>
      <xdr:rowOff>57151</xdr:rowOff>
    </xdr:to>
    <xdr:grpSp>
      <xdr:nvGrpSpPr>
        <xdr:cNvPr id="36" name="Grupo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E2CA2E-EAFA-1C2F-C617-A3F9CDF4A103}"/>
            </a:ext>
          </a:extLst>
        </xdr:cNvPr>
        <xdr:cNvGrpSpPr/>
      </xdr:nvGrpSpPr>
      <xdr:grpSpPr>
        <a:xfrm>
          <a:off x="6702666" y="1400176"/>
          <a:ext cx="2160000" cy="371475"/>
          <a:chOff x="7820025" y="1476376"/>
          <a:chExt cx="2160000" cy="371475"/>
        </a:xfrm>
        <a:solidFill>
          <a:srgbClr val="FFFF00"/>
        </a:solidFill>
      </xdr:grpSpPr>
      <xdr:sp macro="" textlink="">
        <xdr:nvSpPr>
          <xdr:cNvPr id="18" name="Rectángulo: esquinas redondeadas 17">
            <a:extLst>
              <a:ext uri="{FF2B5EF4-FFF2-40B4-BE49-F238E27FC236}">
                <a16:creationId xmlns:a16="http://schemas.microsoft.com/office/drawing/2014/main" id="{6E68DF01-44F9-5D20-2B7F-DAD3AD94398B}"/>
              </a:ext>
            </a:extLst>
          </xdr:cNvPr>
          <xdr:cNvSpPr/>
        </xdr:nvSpPr>
        <xdr:spPr>
          <a:xfrm>
            <a:off x="7820025" y="1476376"/>
            <a:ext cx="2160000" cy="371475"/>
          </a:xfrm>
          <a:prstGeom prst="roundRect">
            <a:avLst/>
          </a:prstGeom>
          <a:grp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EC" sz="1600">
                <a:solidFill>
                  <a:sysClr val="windowText" lastClr="000000"/>
                </a:solidFill>
              </a:rPr>
              <a:t>RESUMEN</a:t>
            </a:r>
            <a:r>
              <a:rPr lang="es-EC" sz="1600" baseline="0">
                <a:solidFill>
                  <a:sysClr val="windowText" lastClr="000000"/>
                </a:solidFill>
              </a:rPr>
              <a:t> x ÁREAS</a:t>
            </a:r>
            <a:endParaRPr lang="es-EC" sz="1600">
              <a:solidFill>
                <a:sysClr val="windowText" lastClr="000000"/>
              </a:solidFill>
            </a:endParaRPr>
          </a:p>
        </xdr:txBody>
      </xdr:sp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209C01FE-135D-D064-221C-BD06B14E40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91154" y="1533525"/>
            <a:ext cx="224370" cy="276224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1</xdr:col>
      <xdr:colOff>476250</xdr:colOff>
      <xdr:row>10</xdr:row>
      <xdr:rowOff>142876</xdr:rowOff>
    </xdr:from>
    <xdr:to>
      <xdr:col>5</xdr:col>
      <xdr:colOff>308250</xdr:colOff>
      <xdr:row>12</xdr:row>
      <xdr:rowOff>133351</xdr:rowOff>
    </xdr:to>
    <xdr:grpSp>
      <xdr:nvGrpSpPr>
        <xdr:cNvPr id="35" name="Grupo 3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A01D318-5EB1-CE5D-8019-A4E0B327EBA3}"/>
            </a:ext>
          </a:extLst>
        </xdr:cNvPr>
        <xdr:cNvGrpSpPr/>
      </xdr:nvGrpSpPr>
      <xdr:grpSpPr>
        <a:xfrm>
          <a:off x="1238250" y="2047876"/>
          <a:ext cx="2880000" cy="371475"/>
          <a:chOff x="1952625" y="2381251"/>
          <a:chExt cx="2880000" cy="371475"/>
        </a:xfrm>
        <a:solidFill>
          <a:srgbClr val="FFFF00"/>
        </a:solidFill>
      </xdr:grpSpPr>
      <xdr:sp macro="" textlink="">
        <xdr:nvSpPr>
          <xdr:cNvPr id="21" name="Rectángulo: esquinas redondeadas 20">
            <a:extLst>
              <a:ext uri="{FF2B5EF4-FFF2-40B4-BE49-F238E27FC236}">
                <a16:creationId xmlns:a16="http://schemas.microsoft.com/office/drawing/2014/main" id="{CE5548F7-F03A-68D4-C1B8-3C8C3062C34B}"/>
              </a:ext>
            </a:extLst>
          </xdr:cNvPr>
          <xdr:cNvSpPr/>
        </xdr:nvSpPr>
        <xdr:spPr>
          <a:xfrm>
            <a:off x="1952625" y="2381251"/>
            <a:ext cx="2880000" cy="371475"/>
          </a:xfrm>
          <a:prstGeom prst="roundRect">
            <a:avLst/>
          </a:prstGeom>
          <a:grp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EC" sz="1600">
                <a:solidFill>
                  <a:sysClr val="windowText" lastClr="000000"/>
                </a:solidFill>
              </a:rPr>
              <a:t>BUSCAR</a:t>
            </a:r>
            <a:r>
              <a:rPr lang="es-EC" sz="1600" baseline="0">
                <a:solidFill>
                  <a:sysClr val="windowText" lastClr="000000"/>
                </a:solidFill>
              </a:rPr>
              <a:t> x CÓDIGO</a:t>
            </a:r>
            <a:endParaRPr lang="es-EC" sz="1600">
              <a:solidFill>
                <a:sysClr val="windowText" lastClr="000000"/>
              </a:solidFill>
            </a:endParaRP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9B10BB14-93A7-0C42-5E02-E7D4A15BFD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14825" y="2409825"/>
            <a:ext cx="304799" cy="304799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6</xdr:col>
      <xdr:colOff>251312</xdr:colOff>
      <xdr:row>10</xdr:row>
      <xdr:rowOff>145196</xdr:rowOff>
    </xdr:from>
    <xdr:to>
      <xdr:col>10</xdr:col>
      <xdr:colOff>83312</xdr:colOff>
      <xdr:row>12</xdr:row>
      <xdr:rowOff>135671</xdr:rowOff>
    </xdr:to>
    <xdr:grpSp>
      <xdr:nvGrpSpPr>
        <xdr:cNvPr id="34" name="Grupo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05C5770-489D-C5AC-23CD-EA705EB5DFB3}"/>
            </a:ext>
          </a:extLst>
        </xdr:cNvPr>
        <xdr:cNvGrpSpPr/>
      </xdr:nvGrpSpPr>
      <xdr:grpSpPr>
        <a:xfrm>
          <a:off x="4823312" y="2050196"/>
          <a:ext cx="2880000" cy="371475"/>
          <a:chOff x="5724525" y="2362201"/>
          <a:chExt cx="2880000" cy="371475"/>
        </a:xfrm>
      </xdr:grpSpPr>
      <xdr:sp macro="" textlink="">
        <xdr:nvSpPr>
          <xdr:cNvPr id="24" name="Rectángulo: esquinas redondeadas 23">
            <a:extLst>
              <a:ext uri="{FF2B5EF4-FFF2-40B4-BE49-F238E27FC236}">
                <a16:creationId xmlns:a16="http://schemas.microsoft.com/office/drawing/2014/main" id="{FA7E1865-57EA-0521-AA42-6B9371D641CC}"/>
              </a:ext>
            </a:extLst>
          </xdr:cNvPr>
          <xdr:cNvSpPr/>
        </xdr:nvSpPr>
        <xdr:spPr>
          <a:xfrm>
            <a:off x="5724525" y="2362201"/>
            <a:ext cx="2880000" cy="371475"/>
          </a:xfrm>
          <a:prstGeom prst="roundRect">
            <a:avLst/>
          </a:prstGeom>
          <a:solidFill>
            <a:srgbClr val="00B05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EC" sz="1600">
                <a:solidFill>
                  <a:sysClr val="windowText" lastClr="000000"/>
                </a:solidFill>
              </a:rPr>
              <a:t>BUSCAR x PRODUCTO</a:t>
            </a:r>
          </a:p>
        </xdr:txBody>
      </xdr:sp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689C659C-7423-E640-3727-F0B07493F5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8077200" y="2400300"/>
            <a:ext cx="342900" cy="31432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21</xdr:row>
      <xdr:rowOff>0</xdr:rowOff>
    </xdr:from>
    <xdr:to>
      <xdr:col>13</xdr:col>
      <xdr:colOff>9525</xdr:colOff>
      <xdr:row>39</xdr:row>
      <xdr:rowOff>150813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B1FD2190-BA43-FA8A-F801-B3F63E39D0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181"/>
        <a:stretch/>
      </xdr:blipFill>
      <xdr:spPr>
        <a:xfrm>
          <a:off x="0" y="4000500"/>
          <a:ext cx="10677525" cy="3579813"/>
        </a:xfrm>
        <a:prstGeom prst="rect">
          <a:avLst/>
        </a:prstGeom>
      </xdr:spPr>
    </xdr:pic>
    <xdr:clientData/>
  </xdr:twoCellAnchor>
  <xdr:twoCellAnchor>
    <xdr:from>
      <xdr:col>4</xdr:col>
      <xdr:colOff>470152</xdr:colOff>
      <xdr:row>13</xdr:row>
      <xdr:rowOff>130051</xdr:rowOff>
    </xdr:from>
    <xdr:to>
      <xdr:col>7</xdr:col>
      <xdr:colOff>241553</xdr:colOff>
      <xdr:row>15</xdr:row>
      <xdr:rowOff>130051</xdr:rowOff>
    </xdr:to>
    <xdr:grpSp>
      <xdr:nvGrpSpPr>
        <xdr:cNvPr id="53" name="Grupo 52">
          <a:extLst>
            <a:ext uri="{FF2B5EF4-FFF2-40B4-BE49-F238E27FC236}">
              <a16:creationId xmlns:a16="http://schemas.microsoft.com/office/drawing/2014/main" id="{E2F414B2-37C3-89E5-822F-EF45871BF895}"/>
            </a:ext>
          </a:extLst>
        </xdr:cNvPr>
        <xdr:cNvGrpSpPr/>
      </xdr:nvGrpSpPr>
      <xdr:grpSpPr>
        <a:xfrm>
          <a:off x="3518152" y="2606551"/>
          <a:ext cx="2057401" cy="381000"/>
          <a:chOff x="3540125" y="2833688"/>
          <a:chExt cx="2057401" cy="381000"/>
        </a:xfrm>
      </xdr:grpSpPr>
      <xdr:sp macro="" textlink="">
        <xdr:nvSpPr>
          <xdr:cNvPr id="50" name="Rectángulo 49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F2BDE4DF-A9F4-4C17-87AD-298A7B88FEA8}"/>
              </a:ext>
            </a:extLst>
          </xdr:cNvPr>
          <xdr:cNvSpPr/>
        </xdr:nvSpPr>
        <xdr:spPr>
          <a:xfrm>
            <a:off x="3540125" y="2833688"/>
            <a:ext cx="2057401" cy="38100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28575">
            <a:solidFill>
              <a:sysClr val="windowText" lastClr="00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EC" sz="3200">
                <a:solidFill>
                  <a:sysClr val="windowText" lastClr="000000"/>
                </a:solidFill>
              </a:rPr>
              <a:t>MENÚ</a:t>
            </a:r>
          </a:p>
        </xdr:txBody>
      </xdr:sp>
      <xdr:pic>
        <xdr:nvPicPr>
          <xdr:cNvPr id="52" name="Imagen 51">
            <a:extLst>
              <a:ext uri="{FF2B5EF4-FFF2-40B4-BE49-F238E27FC236}">
                <a16:creationId xmlns:a16="http://schemas.microsoft.com/office/drawing/2014/main" id="{60CBC27D-38E1-A802-27C4-6B59031272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95876" y="2857502"/>
            <a:ext cx="341311" cy="34131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6773</xdr:colOff>
      <xdr:row>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EB6702-1127-4DDD-9200-67695ABD5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26500" cy="1143000"/>
        </a:xfrm>
        <a:prstGeom prst="rect">
          <a:avLst/>
        </a:prstGeom>
      </xdr:spPr>
    </xdr:pic>
    <xdr:clientData/>
  </xdr:twoCellAnchor>
  <xdr:twoCellAnchor>
    <xdr:from>
      <xdr:col>0</xdr:col>
      <xdr:colOff>96308</xdr:colOff>
      <xdr:row>6</xdr:row>
      <xdr:rowOff>84667</xdr:rowOff>
    </xdr:from>
    <xdr:to>
      <xdr:col>4</xdr:col>
      <xdr:colOff>602575</xdr:colOff>
      <xdr:row>8</xdr:row>
      <xdr:rowOff>189442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347F9B33-19C5-48B5-B792-588F9BE0B975}"/>
            </a:ext>
          </a:extLst>
        </xdr:cNvPr>
        <xdr:cNvSpPr/>
      </xdr:nvSpPr>
      <xdr:spPr>
        <a:xfrm>
          <a:off x="96308" y="1227667"/>
          <a:ext cx="4485600" cy="485775"/>
        </a:xfrm>
        <a:prstGeom prst="roundRect">
          <a:avLst/>
        </a:prstGeom>
        <a:ln w="3175"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2400">
              <a:solidFill>
                <a:schemeClr val="tx1"/>
              </a:solidFill>
            </a:rPr>
            <a:t>BUSCADOR</a:t>
          </a:r>
          <a:r>
            <a:rPr lang="es-EC" sz="2400" baseline="0">
              <a:solidFill>
                <a:schemeClr val="tx1"/>
              </a:solidFill>
            </a:rPr>
            <a:t> x PRODUCTO</a:t>
          </a:r>
          <a:endParaRPr lang="es-EC" sz="24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31752</xdr:colOff>
      <xdr:row>6</xdr:row>
      <xdr:rowOff>137583</xdr:rowOff>
    </xdr:from>
    <xdr:to>
      <xdr:col>7</xdr:col>
      <xdr:colOff>35986</xdr:colOff>
      <xdr:row>8</xdr:row>
      <xdr:rowOff>138183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A4EF335A-B84A-4986-99E6-83550E207A50}"/>
            </a:ext>
          </a:extLst>
        </xdr:cNvPr>
        <xdr:cNvGrpSpPr/>
      </xdr:nvGrpSpPr>
      <xdr:grpSpPr>
        <a:xfrm>
          <a:off x="4773085" y="1280583"/>
          <a:ext cx="1792818" cy="381600"/>
          <a:chOff x="1190626" y="1929870"/>
          <a:chExt cx="2057401" cy="381000"/>
        </a:xfrm>
      </xdr:grpSpPr>
      <xdr:sp macro="" textlink="">
        <xdr:nvSpPr>
          <xdr:cNvPr id="9" name="Rectángulo 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9F0B1CB-EBBF-9197-78C5-E7EC447FA6E8}"/>
              </a:ext>
            </a:extLst>
          </xdr:cNvPr>
          <xdr:cNvSpPr/>
        </xdr:nvSpPr>
        <xdr:spPr>
          <a:xfrm>
            <a:off x="1190626" y="1929870"/>
            <a:ext cx="2057401" cy="38100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28575">
            <a:solidFill>
              <a:sysClr val="windowText" lastClr="00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EC" sz="3200">
                <a:solidFill>
                  <a:sysClr val="windowText" lastClr="000000"/>
                </a:solidFill>
              </a:rPr>
              <a:t>MENÚ</a:t>
            </a:r>
          </a:p>
        </xdr:txBody>
      </xdr:sp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E340C57-6E40-790F-CE5C-735D457114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09876" y="1958340"/>
            <a:ext cx="341311" cy="341311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148165</xdr:colOff>
      <xdr:row>11</xdr:row>
      <xdr:rowOff>0</xdr:rowOff>
    </xdr:from>
    <xdr:to>
      <xdr:col>9</xdr:col>
      <xdr:colOff>634998</xdr:colOff>
      <xdr:row>26</xdr:row>
      <xdr:rowOff>169333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438FB1D-CF4F-456D-AEF3-87DD702A99EA}"/>
            </a:ext>
          </a:extLst>
        </xdr:cNvPr>
        <xdr:cNvSpPr/>
      </xdr:nvSpPr>
      <xdr:spPr>
        <a:xfrm>
          <a:off x="6678082" y="1905000"/>
          <a:ext cx="2010833" cy="232833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201083</xdr:colOff>
      <xdr:row>6</xdr:row>
      <xdr:rowOff>148165</xdr:rowOff>
    </xdr:from>
    <xdr:to>
      <xdr:col>9</xdr:col>
      <xdr:colOff>634999</xdr:colOff>
      <xdr:row>8</xdr:row>
      <xdr:rowOff>158748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E0591811-634F-476B-A88E-BCACFF3702B3}"/>
            </a:ext>
          </a:extLst>
        </xdr:cNvPr>
        <xdr:cNvSpPr/>
      </xdr:nvSpPr>
      <xdr:spPr>
        <a:xfrm>
          <a:off x="6731000" y="1291165"/>
          <a:ext cx="1957916" cy="391583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800">
              <a:solidFill>
                <a:sysClr val="windowText" lastClr="000000"/>
              </a:solidFill>
            </a:rPr>
            <a:t>IMAGEN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6</xdr:row>
      <xdr:rowOff>10583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5713EF-A0B7-49A6-8B7B-622FD5F44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15917" cy="1153583"/>
        </a:xfrm>
        <a:prstGeom prst="rect">
          <a:avLst/>
        </a:prstGeom>
      </xdr:spPr>
    </xdr:pic>
    <xdr:clientData/>
  </xdr:twoCellAnchor>
  <xdr:twoCellAnchor>
    <xdr:from>
      <xdr:col>0</xdr:col>
      <xdr:colOff>128057</xdr:colOff>
      <xdr:row>6</xdr:row>
      <xdr:rowOff>95249</xdr:rowOff>
    </xdr:from>
    <xdr:to>
      <xdr:col>4</xdr:col>
      <xdr:colOff>634999</xdr:colOff>
      <xdr:row>9</xdr:row>
      <xdr:rowOff>9524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5B43D8B2-54FF-FCBE-540F-A5145C13E9BD}"/>
            </a:ext>
          </a:extLst>
        </xdr:cNvPr>
        <xdr:cNvSpPr/>
      </xdr:nvSpPr>
      <xdr:spPr>
        <a:xfrm>
          <a:off x="128057" y="1238249"/>
          <a:ext cx="4486275" cy="485775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2400">
              <a:solidFill>
                <a:schemeClr val="tx1"/>
              </a:solidFill>
            </a:rPr>
            <a:t>BUSCADOR</a:t>
          </a:r>
          <a:r>
            <a:rPr lang="es-EC" sz="2400" baseline="0">
              <a:solidFill>
                <a:schemeClr val="tx1"/>
              </a:solidFill>
            </a:rPr>
            <a:t> x CÓDIGO</a:t>
          </a:r>
        </a:p>
        <a:p>
          <a:pPr algn="ctr"/>
          <a:endParaRPr lang="es-EC" sz="2400" baseline="0">
            <a:solidFill>
              <a:schemeClr val="tx1"/>
            </a:solidFill>
          </a:endParaRPr>
        </a:p>
        <a:p>
          <a:pPr algn="ctr"/>
          <a:endParaRPr lang="es-EC" sz="24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21166</xdr:colOff>
      <xdr:row>6</xdr:row>
      <xdr:rowOff>148166</xdr:rowOff>
    </xdr:from>
    <xdr:to>
      <xdr:col>7</xdr:col>
      <xdr:colOff>25400</xdr:colOff>
      <xdr:row>8</xdr:row>
      <xdr:rowOff>148166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9320A7B-C3E8-47C9-B1FC-B6B2C71F9AB6}"/>
            </a:ext>
          </a:extLst>
        </xdr:cNvPr>
        <xdr:cNvGrpSpPr/>
      </xdr:nvGrpSpPr>
      <xdr:grpSpPr>
        <a:xfrm>
          <a:off x="4762499" y="1291166"/>
          <a:ext cx="1792818" cy="381000"/>
          <a:chOff x="3345801" y="2749021"/>
          <a:chExt cx="2057401" cy="381000"/>
        </a:xfrm>
      </xdr:grpSpPr>
      <xdr:sp macro="" textlink="">
        <xdr:nvSpPr>
          <xdr:cNvPr id="8" name="Rectángulo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5B363FC-299B-5B97-E07F-2B054612A97C}"/>
              </a:ext>
            </a:extLst>
          </xdr:cNvPr>
          <xdr:cNvSpPr/>
        </xdr:nvSpPr>
        <xdr:spPr>
          <a:xfrm>
            <a:off x="3345801" y="2749021"/>
            <a:ext cx="2057401" cy="38100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28575">
            <a:solidFill>
              <a:sysClr val="windowText" lastClr="00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EC" sz="3200">
                <a:solidFill>
                  <a:sysClr val="windowText" lastClr="000000"/>
                </a:solidFill>
              </a:rPr>
              <a:t>MENÚ</a:t>
            </a:r>
          </a:p>
        </xdr:txBody>
      </xdr:sp>
      <xdr:pic>
        <xdr:nvPicPr>
          <xdr:cNvPr id="9" name="Imagen 8">
            <a:extLst>
              <a:ext uri="{FF2B5EF4-FFF2-40B4-BE49-F238E27FC236}">
                <a16:creationId xmlns:a16="http://schemas.microsoft.com/office/drawing/2014/main" id="{49B9355D-E620-3CC2-91E1-9932779369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50134" y="2772835"/>
            <a:ext cx="341311" cy="341311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158747</xdr:colOff>
      <xdr:row>11</xdr:row>
      <xdr:rowOff>0</xdr:rowOff>
    </xdr:from>
    <xdr:to>
      <xdr:col>9</xdr:col>
      <xdr:colOff>645580</xdr:colOff>
      <xdr:row>26</xdr:row>
      <xdr:rowOff>179916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4BAA5E-4087-9885-ADE1-E3B3238AED19}"/>
            </a:ext>
          </a:extLst>
        </xdr:cNvPr>
        <xdr:cNvSpPr/>
      </xdr:nvSpPr>
      <xdr:spPr>
        <a:xfrm>
          <a:off x="6688664" y="1905000"/>
          <a:ext cx="2010833" cy="23389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190501</xdr:colOff>
      <xdr:row>6</xdr:row>
      <xdr:rowOff>148167</xdr:rowOff>
    </xdr:from>
    <xdr:to>
      <xdr:col>9</xdr:col>
      <xdr:colOff>624417</xdr:colOff>
      <xdr:row>8</xdr:row>
      <xdr:rowOff>158750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67752AA3-DC9F-B3A7-AD16-F79FA30F88A0}"/>
            </a:ext>
          </a:extLst>
        </xdr:cNvPr>
        <xdr:cNvSpPr/>
      </xdr:nvSpPr>
      <xdr:spPr>
        <a:xfrm>
          <a:off x="6720418" y="1291167"/>
          <a:ext cx="1957916" cy="391583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800">
              <a:solidFill>
                <a:sysClr val="windowText" lastClr="000000"/>
              </a:solidFill>
            </a:rPr>
            <a:t>IMAGEN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650875</xdr:colOff>
      <xdr:row>9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4E597F-EB4C-4289-AE68-B0263750A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02250" cy="1714500"/>
        </a:xfrm>
        <a:prstGeom prst="rect">
          <a:avLst/>
        </a:prstGeom>
      </xdr:spPr>
    </xdr:pic>
    <xdr:clientData/>
  </xdr:twoCellAnchor>
  <xdr:twoCellAnchor>
    <xdr:from>
      <xdr:col>10</xdr:col>
      <xdr:colOff>688975</xdr:colOff>
      <xdr:row>7</xdr:row>
      <xdr:rowOff>139700</xdr:rowOff>
    </xdr:from>
    <xdr:to>
      <xdr:col>11</xdr:col>
      <xdr:colOff>962026</xdr:colOff>
      <xdr:row>9</xdr:row>
      <xdr:rowOff>139700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800BE18-CA0E-4950-99B9-7EC1CF9CA652}"/>
            </a:ext>
          </a:extLst>
        </xdr:cNvPr>
        <xdr:cNvGrpSpPr/>
      </xdr:nvGrpSpPr>
      <xdr:grpSpPr>
        <a:xfrm>
          <a:off x="18040350" y="1473200"/>
          <a:ext cx="1289051" cy="381000"/>
          <a:chOff x="3521075" y="2833688"/>
          <a:chExt cx="2057401" cy="381000"/>
        </a:xfrm>
      </xdr:grpSpPr>
      <xdr:sp macro="" textlink="">
        <xdr:nvSpPr>
          <xdr:cNvPr id="5" name="Rectángulo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CA0C944-5BD3-CCBA-34CD-CAD7F7CAFDE5}"/>
              </a:ext>
            </a:extLst>
          </xdr:cNvPr>
          <xdr:cNvSpPr/>
        </xdr:nvSpPr>
        <xdr:spPr>
          <a:xfrm>
            <a:off x="3521075" y="2833688"/>
            <a:ext cx="2057401" cy="38100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28575">
            <a:solidFill>
              <a:sysClr val="windowText" lastClr="00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EC" sz="3200">
                <a:solidFill>
                  <a:sysClr val="windowText" lastClr="000000"/>
                </a:solidFill>
              </a:rPr>
              <a:t>MENÚ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78ECC88A-6805-664B-09BF-980BB88000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95876" y="2857502"/>
            <a:ext cx="341311" cy="34131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2905124</xdr:colOff>
      <xdr:row>9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9FA7A2-5928-44B8-88CD-29599C8EE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509874" cy="1714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15875</xdr:colOff>
      <xdr:row>9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81271F-7EA5-441A-97A1-5DC5F5EB5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62250" cy="1714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446616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473DBD-5F24-4B08-9275-971EFAF43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34050" cy="1152525"/>
        </a:xfrm>
        <a:prstGeom prst="rect">
          <a:avLst/>
        </a:prstGeom>
      </xdr:spPr>
    </xdr:pic>
    <xdr:clientData/>
  </xdr:twoCellAnchor>
  <xdr:twoCellAnchor>
    <xdr:from>
      <xdr:col>3</xdr:col>
      <xdr:colOff>166688</xdr:colOff>
      <xdr:row>4</xdr:row>
      <xdr:rowOff>166688</xdr:rowOff>
    </xdr:from>
    <xdr:to>
      <xdr:col>4</xdr:col>
      <xdr:colOff>674688</xdr:colOff>
      <xdr:row>5</xdr:row>
      <xdr:rowOff>182554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9738642-1371-41CE-89BE-5990F3FB4351}"/>
            </a:ext>
          </a:extLst>
        </xdr:cNvPr>
        <xdr:cNvGrpSpPr/>
      </xdr:nvGrpSpPr>
      <xdr:grpSpPr>
        <a:xfrm>
          <a:off x="4400021" y="928688"/>
          <a:ext cx="1566334" cy="206366"/>
          <a:chOff x="-688975" y="-2500312"/>
          <a:chExt cx="2057401" cy="381000"/>
        </a:xfrm>
      </xdr:grpSpPr>
      <xdr:sp macro="" textlink="">
        <xdr:nvSpPr>
          <xdr:cNvPr id="5" name="Rectángulo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18104E6-8115-D81D-DA12-856C5D912136}"/>
              </a:ext>
            </a:extLst>
          </xdr:cNvPr>
          <xdr:cNvSpPr/>
        </xdr:nvSpPr>
        <xdr:spPr>
          <a:xfrm>
            <a:off x="-688975" y="-2500312"/>
            <a:ext cx="2057401" cy="38100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28575">
            <a:solidFill>
              <a:sysClr val="windowText" lastClr="00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EC" sz="1600">
                <a:solidFill>
                  <a:sysClr val="windowText" lastClr="000000"/>
                </a:solidFill>
              </a:rPr>
              <a:t>MENÚ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2E96A1A8-BD26-29E7-1E0A-4B09526640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1543" y="-2480112"/>
            <a:ext cx="341311" cy="34131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DDF9-9A0D-4419-B7DD-0C98D7E60BD2}">
  <dimension ref="A1:N23"/>
  <sheetViews>
    <sheetView showGridLines="0" topLeftCell="A4" zoomScale="130" zoomScaleNormal="130" workbookViewId="0"/>
  </sheetViews>
  <sheetFormatPr baseColWidth="10" defaultRowHeight="15" x14ac:dyDescent="0.25"/>
  <cols>
    <col min="13" max="13" width="6" customWidth="1"/>
  </cols>
  <sheetData>
    <row r="1" spans="1:14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8"/>
    </row>
    <row r="8" spans="1:14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8"/>
    </row>
    <row r="9" spans="1:14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8"/>
    </row>
    <row r="10" spans="1:14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8"/>
    </row>
    <row r="11" spans="1:14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8"/>
    </row>
    <row r="12" spans="1:14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8"/>
    </row>
    <row r="13" spans="1:14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8"/>
    </row>
    <row r="14" spans="1:14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8"/>
    </row>
    <row r="15" spans="1:14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8"/>
    </row>
    <row r="16" spans="1:14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8"/>
    </row>
    <row r="17" spans="1:14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8"/>
    </row>
    <row r="18" spans="1:14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F05B-EFCF-4343-BF0B-34B1F203F08F}">
  <dimension ref="A12:G27"/>
  <sheetViews>
    <sheetView showGridLines="0" zoomScale="90" zoomScaleNormal="90" workbookViewId="0">
      <selection activeCell="B14" sqref="B14:C14"/>
    </sheetView>
  </sheetViews>
  <sheetFormatPr baseColWidth="10" defaultRowHeight="15" x14ac:dyDescent="0.25"/>
  <cols>
    <col min="1" max="1" width="17.85546875" style="31" customWidth="1"/>
    <col min="2" max="2" width="19.140625" style="31" customWidth="1"/>
    <col min="3" max="3" width="19.5703125" style="31" customWidth="1"/>
    <col min="4" max="4" width="3" style="31" customWidth="1"/>
    <col min="5" max="5" width="11.42578125" style="31"/>
    <col min="6" max="6" width="15.28515625" style="31" customWidth="1"/>
    <col min="7" max="7" width="11.5703125" style="31" customWidth="1"/>
    <col min="8" max="16384" width="11.42578125" style="31"/>
  </cols>
  <sheetData>
    <row r="12" spans="1:7" x14ac:dyDescent="0.25">
      <c r="A12" t="s">
        <v>590</v>
      </c>
      <c r="B12" s="37" t="s">
        <v>659</v>
      </c>
      <c r="C12" s="37"/>
      <c r="D12"/>
      <c r="E12" t="s">
        <v>594</v>
      </c>
      <c r="F12" s="38" t="str">
        <f>IFERROR(VLOOKUP($B$12,TODO_PROD!$A$13:$K$406,6,FALSE),"NO EXISTE")</f>
        <v>NO EXISTE</v>
      </c>
      <c r="G12" s="38"/>
    </row>
    <row r="13" spans="1:7" ht="6" customHeight="1" x14ac:dyDescent="0.25">
      <c r="A13"/>
      <c r="B13" s="32"/>
      <c r="C13" s="32"/>
      <c r="D13"/>
      <c r="E13"/>
      <c r="F13" s="32"/>
      <c r="G13" s="32"/>
    </row>
    <row r="14" spans="1:7" x14ac:dyDescent="0.25">
      <c r="A14" t="s">
        <v>599</v>
      </c>
      <c r="B14" s="38" t="str">
        <f>IFERROR(VLOOKUP($B$12,TODO_PROD!$A$13:$K$406,2,FALSE),"NO EXISTE")</f>
        <v>NO EXISTE</v>
      </c>
      <c r="C14" s="38"/>
      <c r="D14"/>
      <c r="E14" t="s">
        <v>595</v>
      </c>
      <c r="F14" s="38" t="str">
        <f>IFERROR(VLOOKUP($B$12,TODO_PROD!$A$13:$K$406,7,FALSE),"NO EXISTE")</f>
        <v>NO EXISTE</v>
      </c>
      <c r="G14" s="38"/>
    </row>
    <row r="15" spans="1:7" ht="6" customHeight="1" x14ac:dyDescent="0.25">
      <c r="A15"/>
      <c r="B15" s="32"/>
      <c r="C15" s="32"/>
      <c r="D15"/>
      <c r="E15"/>
      <c r="F15" s="32"/>
      <c r="G15" s="32"/>
    </row>
    <row r="16" spans="1:7" x14ac:dyDescent="0.25">
      <c r="A16" t="s">
        <v>591</v>
      </c>
      <c r="B16" s="38" t="str">
        <f>IFERROR(VLOOKUP($B$12,TODO_PROD!$A$13:$K$406,3,FALSE),"NO EXISTE")</f>
        <v>NO EXISTE</v>
      </c>
      <c r="C16" s="38"/>
      <c r="D16"/>
      <c r="E16" t="s">
        <v>596</v>
      </c>
      <c r="F16" s="38" t="str">
        <f>IFERROR(VLOOKUP($B$12,TODO_PROD!$A$13:$K$406,8,FALSE),"NO EXISTE")</f>
        <v>NO EXISTE</v>
      </c>
      <c r="G16" s="38"/>
    </row>
    <row r="17" spans="1:7" ht="6" customHeight="1" x14ac:dyDescent="0.25">
      <c r="A17"/>
      <c r="B17" s="32"/>
      <c r="C17" s="32"/>
      <c r="D17"/>
      <c r="E17"/>
      <c r="F17" s="32"/>
      <c r="G17" s="32"/>
    </row>
    <row r="18" spans="1:7" x14ac:dyDescent="0.25">
      <c r="A18" t="s">
        <v>592</v>
      </c>
      <c r="B18" s="38" t="str">
        <f>IFERROR(VLOOKUP($B$12,TODO_PROD!$A$13:$K$406,4,FALSE),"NO EXISTE")</f>
        <v>NO EXISTE</v>
      </c>
      <c r="C18" s="38"/>
      <c r="D18"/>
      <c r="E18" t="s">
        <v>597</v>
      </c>
      <c r="F18" s="38" t="str">
        <f>IFERROR(VLOOKUP($B$12,TODO_PROD!$A$13:$K$406,9,FALSE),"NO EXISTE")</f>
        <v>NO EXISTE</v>
      </c>
      <c r="G18" s="38"/>
    </row>
    <row r="19" spans="1:7" ht="6" customHeight="1" x14ac:dyDescent="0.25">
      <c r="A19"/>
      <c r="B19" s="32"/>
      <c r="C19" s="32"/>
      <c r="D19"/>
      <c r="E19"/>
      <c r="F19" s="32"/>
      <c r="G19" s="32"/>
    </row>
    <row r="20" spans="1:7" x14ac:dyDescent="0.25">
      <c r="A20" t="s">
        <v>593</v>
      </c>
      <c r="B20" s="38" t="str">
        <f>IFERROR(VLOOKUP($B$12,TODO_PROD!$A$13:$K$406,5,FALSE),"NO EXISTE")</f>
        <v>NO EXISTE</v>
      </c>
      <c r="C20" s="38"/>
      <c r="D20"/>
      <c r="E20" t="s">
        <v>598</v>
      </c>
      <c r="F20" s="39" t="str">
        <f>IFERROR(VLOOKUP($B$12,TODO_PROD!$A$13:$K$406,11,FALSE),"NO EXISTE")</f>
        <v>NO EXISTE</v>
      </c>
      <c r="G20" s="39"/>
    </row>
    <row r="21" spans="1:7" ht="6" customHeight="1" x14ac:dyDescent="0.25">
      <c r="A21"/>
      <c r="B21"/>
      <c r="C21"/>
      <c r="D21"/>
      <c r="E21"/>
      <c r="F21" s="32"/>
      <c r="G21" s="32"/>
    </row>
    <row r="22" spans="1:7" x14ac:dyDescent="0.25">
      <c r="A22"/>
      <c r="B22"/>
      <c r="C22"/>
      <c r="D22"/>
      <c r="E22" t="s">
        <v>588</v>
      </c>
      <c r="F22" s="41" t="str">
        <f>IFERROR(VLOOKUP($B$12,TODO_PROD!$A$13:$L$406,12,FALSE),"NO EXISTE")</f>
        <v>NO EXISTE</v>
      </c>
      <c r="G22" s="41"/>
    </row>
    <row r="23" spans="1:7" ht="6" customHeight="1" x14ac:dyDescent="0.25">
      <c r="A23"/>
      <c r="B23"/>
      <c r="C23"/>
      <c r="D23"/>
      <c r="E23"/>
      <c r="F23"/>
      <c r="G23"/>
    </row>
    <row r="24" spans="1:7" x14ac:dyDescent="0.25">
      <c r="A24" t="s">
        <v>583</v>
      </c>
      <c r="B24"/>
      <c r="C24"/>
      <c r="D24"/>
      <c r="E24"/>
      <c r="F24"/>
      <c r="G24"/>
    </row>
    <row r="25" spans="1:7" x14ac:dyDescent="0.25">
      <c r="A25" s="40" t="str">
        <f>IFERROR(VLOOKUP($B$12,TODO_PROD!$A$13:$K$406,10,FALSE),"NO EXISTE")</f>
        <v>NO EXISTE</v>
      </c>
      <c r="B25" s="40"/>
      <c r="C25" s="40"/>
      <c r="D25" s="40"/>
      <c r="E25" s="40"/>
      <c r="F25" s="40"/>
      <c r="G25" s="40"/>
    </row>
    <row r="26" spans="1:7" x14ac:dyDescent="0.25">
      <c r="A26" s="40"/>
      <c r="B26" s="40"/>
      <c r="C26" s="40"/>
      <c r="D26" s="40"/>
      <c r="E26" s="40"/>
      <c r="F26" s="40"/>
      <c r="G26" s="40"/>
    </row>
    <row r="27" spans="1:7" x14ac:dyDescent="0.25">
      <c r="A27" s="40"/>
      <c r="B27" s="40"/>
      <c r="C27" s="40"/>
      <c r="D27" s="40"/>
      <c r="E27" s="40"/>
      <c r="F27" s="40"/>
      <c r="G27" s="40"/>
    </row>
  </sheetData>
  <mergeCells count="12">
    <mergeCell ref="B18:C18"/>
    <mergeCell ref="F18:G18"/>
    <mergeCell ref="B20:C20"/>
    <mergeCell ref="F20:G20"/>
    <mergeCell ref="A25:G27"/>
    <mergeCell ref="F22:G22"/>
    <mergeCell ref="B12:C12"/>
    <mergeCell ref="F12:G12"/>
    <mergeCell ref="B14:C14"/>
    <mergeCell ref="F14:G14"/>
    <mergeCell ref="B16:C16"/>
    <mergeCell ref="F16:G16"/>
  </mergeCells>
  <pageMargins left="0.70866141732283472" right="0" top="0.74803149606299213" bottom="0.74803149606299213" header="0.31496062992125984" footer="0.31496062992125984"/>
  <pageSetup paperSize="9"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242DC2-9CDF-4367-8F35-197515E82F28}">
          <x14:formula1>
            <xm:f>EDITABLE!$C$13:$C$458</xm:f>
          </x14:formula1>
          <xm:sqref>B12:C12 K12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A9CC-EC7E-4358-A95A-ED2DCC9D4678}">
  <dimension ref="A12:G27"/>
  <sheetViews>
    <sheetView showGridLines="0" zoomScale="90" zoomScaleNormal="90" workbookViewId="0">
      <selection activeCell="B14" sqref="B14:C14"/>
    </sheetView>
  </sheetViews>
  <sheetFormatPr baseColWidth="10" defaultRowHeight="15" x14ac:dyDescent="0.25"/>
  <cols>
    <col min="1" max="1" width="17.85546875" style="31" customWidth="1"/>
    <col min="2" max="2" width="19.140625" style="31" customWidth="1"/>
    <col min="3" max="3" width="19.5703125" style="31" customWidth="1"/>
    <col min="4" max="4" width="3" style="31" customWidth="1"/>
    <col min="5" max="5" width="11.42578125" style="31"/>
    <col min="6" max="6" width="15.28515625" style="31" customWidth="1"/>
    <col min="7" max="7" width="11.5703125" style="31" customWidth="1"/>
    <col min="8" max="16384" width="11.42578125" style="31"/>
  </cols>
  <sheetData>
    <row r="12" spans="1:7" x14ac:dyDescent="0.25">
      <c r="A12" t="s">
        <v>589</v>
      </c>
      <c r="B12" s="43" t="s">
        <v>719</v>
      </c>
      <c r="C12" s="44"/>
      <c r="D12"/>
      <c r="E12" t="s">
        <v>594</v>
      </c>
      <c r="F12" s="45" t="str">
        <f>IFERROR(VLOOKUP($B$12,TODO_COD!$A$13:$K$458,6,FALSE),"NO EXISTE")</f>
        <v>NO EXISTE</v>
      </c>
      <c r="G12" s="45"/>
    </row>
    <row r="13" spans="1:7" ht="6" customHeight="1" x14ac:dyDescent="0.25">
      <c r="A13"/>
      <c r="B13"/>
      <c r="C13"/>
      <c r="D13"/>
      <c r="E13"/>
      <c r="F13"/>
      <c r="G13"/>
    </row>
    <row r="14" spans="1:7" x14ac:dyDescent="0.25">
      <c r="A14" t="s">
        <v>590</v>
      </c>
      <c r="B14" s="45" t="str">
        <f>IFERROR(VLOOKUP($B$12,TODO_COD!$A$13:$K$458,3,FALSE),"NO EXISTE")</f>
        <v>NO EXISTE</v>
      </c>
      <c r="C14" s="45"/>
      <c r="D14"/>
      <c r="E14" t="s">
        <v>595</v>
      </c>
      <c r="F14" s="45" t="str">
        <f>IFERROR(VLOOKUP($B$12,TODO_COD!$A$13:$K$458,7,FALSE),"NO EXISTE")</f>
        <v>NO EXISTE</v>
      </c>
      <c r="G14" s="45"/>
    </row>
    <row r="15" spans="1:7" ht="6" customHeight="1" x14ac:dyDescent="0.25">
      <c r="A15"/>
      <c r="B15"/>
      <c r="C15"/>
      <c r="D15"/>
      <c r="E15"/>
      <c r="F15"/>
      <c r="G15"/>
    </row>
    <row r="16" spans="1:7" x14ac:dyDescent="0.25">
      <c r="A16" t="s">
        <v>591</v>
      </c>
      <c r="B16" s="45" t="str">
        <f>IFERROR(VLOOKUP($B$12,TODO_COD!$A$13:$K$458,2,FALSE),"NO EXISTE")</f>
        <v>NO EXISTE</v>
      </c>
      <c r="C16" s="45"/>
      <c r="D16"/>
      <c r="E16" t="s">
        <v>596</v>
      </c>
      <c r="F16" s="45" t="str">
        <f>IFERROR(VLOOKUP($B$12,TODO_COD!$A$13:$K$458,8,FALSE),"NO EXISTE")</f>
        <v>NO EXISTE</v>
      </c>
      <c r="G16" s="45"/>
    </row>
    <row r="17" spans="1:7" ht="6" customHeight="1" x14ac:dyDescent="0.25">
      <c r="A17"/>
      <c r="B17"/>
      <c r="C17"/>
      <c r="D17"/>
      <c r="E17"/>
      <c r="F17"/>
      <c r="G17"/>
    </row>
    <row r="18" spans="1:7" x14ac:dyDescent="0.25">
      <c r="A18" t="s">
        <v>592</v>
      </c>
      <c r="B18" s="45" t="str">
        <f>IFERROR(VLOOKUP($B$12,TODO_COD!$A$13:$K$458,4,FALSE),"NO EXISTE")</f>
        <v>NO EXISTE</v>
      </c>
      <c r="C18" s="45"/>
      <c r="D18"/>
      <c r="E18" t="s">
        <v>597</v>
      </c>
      <c r="F18" s="45" t="str">
        <f>IFERROR(VLOOKUP($B$12,TODO_COD!$A$13:$K$458,9,FALSE),"NO EXISTE")</f>
        <v>NO EXISTE</v>
      </c>
      <c r="G18" s="45"/>
    </row>
    <row r="19" spans="1:7" ht="6" customHeight="1" x14ac:dyDescent="0.25">
      <c r="A19"/>
      <c r="B19"/>
      <c r="C19"/>
      <c r="D19"/>
      <c r="E19"/>
      <c r="F19"/>
      <c r="G19"/>
    </row>
    <row r="20" spans="1:7" x14ac:dyDescent="0.25">
      <c r="A20" t="s">
        <v>593</v>
      </c>
      <c r="B20" s="45" t="str">
        <f>IFERROR(VLOOKUP($B$12,TODO_COD!$A$13:$K$458,5,FALSE),"NO EXISTE")</f>
        <v>NO EXISTE</v>
      </c>
      <c r="C20" s="45"/>
      <c r="D20"/>
      <c r="E20" t="s">
        <v>598</v>
      </c>
      <c r="F20" s="42" t="str">
        <f>IFERROR(VLOOKUP($B$12,TODO_COD!$A$13:$K$458,11,FALSE),"NO EXISTE")</f>
        <v>NO EXISTE</v>
      </c>
      <c r="G20" s="42"/>
    </row>
    <row r="21" spans="1:7" ht="6" customHeight="1" x14ac:dyDescent="0.25">
      <c r="A21"/>
      <c r="B21"/>
      <c r="C21"/>
      <c r="D21"/>
      <c r="E21"/>
      <c r="F21"/>
      <c r="G21"/>
    </row>
    <row r="22" spans="1:7" x14ac:dyDescent="0.25">
      <c r="A22"/>
      <c r="B22"/>
      <c r="C22"/>
      <c r="D22"/>
      <c r="E22" t="s">
        <v>588</v>
      </c>
      <c r="F22" s="46" t="str">
        <f>IFERROR(VLOOKUP($B$12,TODO_COD!$A$13:$L$458,12,FALSE),"NO EXISTE")</f>
        <v>NO EXISTE</v>
      </c>
      <c r="G22" s="46"/>
    </row>
    <row r="23" spans="1:7" ht="6" customHeight="1" x14ac:dyDescent="0.25">
      <c r="A23"/>
      <c r="B23"/>
      <c r="C23"/>
      <c r="D23"/>
      <c r="E23"/>
      <c r="F23"/>
      <c r="G23"/>
    </row>
    <row r="24" spans="1:7" x14ac:dyDescent="0.25">
      <c r="A24" t="s">
        <v>583</v>
      </c>
      <c r="B24"/>
      <c r="C24"/>
      <c r="D24"/>
      <c r="E24"/>
      <c r="F24"/>
      <c r="G24"/>
    </row>
    <row r="25" spans="1:7" x14ac:dyDescent="0.25">
      <c r="A25" s="40" t="str">
        <f>IFERROR(VLOOKUP($B$12,TODO_COD!$A$13:$K$458,10,FALSE),"NO EXISTE")</f>
        <v>NO EXISTE</v>
      </c>
      <c r="B25" s="40"/>
      <c r="C25" s="40"/>
      <c r="D25" s="40"/>
      <c r="E25" s="40"/>
      <c r="F25" s="40"/>
      <c r="G25" s="40"/>
    </row>
    <row r="26" spans="1:7" x14ac:dyDescent="0.25">
      <c r="A26" s="40"/>
      <c r="B26" s="40"/>
      <c r="C26" s="40"/>
      <c r="D26" s="40"/>
      <c r="E26" s="40"/>
      <c r="F26" s="40"/>
      <c r="G26" s="40"/>
    </row>
    <row r="27" spans="1:7" x14ac:dyDescent="0.25">
      <c r="A27" s="40"/>
      <c r="B27" s="40"/>
      <c r="C27" s="40"/>
      <c r="D27" s="40"/>
      <c r="E27" s="40"/>
      <c r="F27" s="40"/>
      <c r="G27" s="40"/>
    </row>
  </sheetData>
  <mergeCells count="12">
    <mergeCell ref="F20:G20"/>
    <mergeCell ref="A25:G27"/>
    <mergeCell ref="B12:C12"/>
    <mergeCell ref="B14:C14"/>
    <mergeCell ref="B16:C16"/>
    <mergeCell ref="B18:C18"/>
    <mergeCell ref="B20:C20"/>
    <mergeCell ref="F12:G12"/>
    <mergeCell ref="F14:G14"/>
    <mergeCell ref="F16:G16"/>
    <mergeCell ref="F18:G18"/>
    <mergeCell ref="F22:G22"/>
  </mergeCells>
  <pageMargins left="0.70866141732283472" right="0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FAB40A4-495A-48BE-ADAF-FC445C639CFD}">
          <x14:formula1>
            <xm:f>EDITABLE!$A$13:$A$458</xm:f>
          </x14:formula1>
          <xm:sqref>B12:C12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770B-B42B-477C-9536-79E8486803A2}">
  <dimension ref="A12:M468"/>
  <sheetViews>
    <sheetView tabSelected="1" topLeftCell="A430" zoomScale="60" zoomScaleNormal="60" workbookViewId="0">
      <selection activeCell="H446" sqref="H446"/>
    </sheetView>
  </sheetViews>
  <sheetFormatPr baseColWidth="10" defaultRowHeight="15" x14ac:dyDescent="0.25"/>
  <cols>
    <col min="1" max="1" width="18.28515625" bestFit="1" customWidth="1"/>
    <col min="2" max="2" width="13.42578125" style="1" bestFit="1" customWidth="1"/>
    <col min="3" max="3" width="43.42578125" bestFit="1" customWidth="1"/>
    <col min="4" max="4" width="29.7109375" style="1" bestFit="1" customWidth="1"/>
    <col min="5" max="5" width="18.140625" style="1" bestFit="1" customWidth="1"/>
    <col min="6" max="6" width="15.140625" style="1" bestFit="1" customWidth="1"/>
    <col min="7" max="7" width="21.140625" style="8" bestFit="1" customWidth="1"/>
    <col min="8" max="8" width="36.85546875" style="1" bestFit="1" customWidth="1"/>
    <col min="9" max="9" width="12.28515625" style="1" bestFit="1" customWidth="1"/>
    <col min="10" max="10" width="51.7109375" customWidth="1"/>
    <col min="11" max="11" width="15.140625" customWidth="1"/>
    <col min="12" max="12" width="16.140625" bestFit="1" customWidth="1"/>
  </cols>
  <sheetData>
    <row r="12" spans="1:12" s="1" customFormat="1" x14ac:dyDescent="0.25">
      <c r="A12" s="9" t="s">
        <v>70</v>
      </c>
      <c r="B12" s="9" t="s">
        <v>69</v>
      </c>
      <c r="C12" s="9" t="s">
        <v>71</v>
      </c>
      <c r="D12" s="9" t="s">
        <v>63</v>
      </c>
      <c r="E12" s="9" t="s">
        <v>64</v>
      </c>
      <c r="F12" s="9" t="s">
        <v>65</v>
      </c>
      <c r="G12" s="10" t="s">
        <v>78</v>
      </c>
      <c r="H12" s="9" t="s">
        <v>66</v>
      </c>
      <c r="I12" s="9" t="s">
        <v>67</v>
      </c>
      <c r="J12" s="9" t="s">
        <v>72</v>
      </c>
      <c r="K12" s="9" t="s">
        <v>68</v>
      </c>
      <c r="L12" s="9" t="s">
        <v>584</v>
      </c>
    </row>
    <row r="13" spans="1:12" x14ac:dyDescent="0.25">
      <c r="A13" s="3" t="str">
        <f t="shared" ref="A13:A37" si="0">CONCATENATE(LEFT(C13,4),LEFT(H13,8))</f>
        <v>CPUAULA-C1</v>
      </c>
      <c r="B13" s="6">
        <v>1</v>
      </c>
      <c r="C13" s="3" t="s">
        <v>0</v>
      </c>
      <c r="D13" s="3" t="s">
        <v>1</v>
      </c>
      <c r="E13" s="3" t="s">
        <v>18</v>
      </c>
      <c r="F13" s="3" t="s">
        <v>81</v>
      </c>
      <c r="G13" s="5">
        <v>91225062019</v>
      </c>
      <c r="H13" s="14" t="s">
        <v>75</v>
      </c>
      <c r="I13" s="6" t="s">
        <v>3</v>
      </c>
      <c r="J13" s="3" t="s">
        <v>91</v>
      </c>
      <c r="K13" s="21">
        <v>250</v>
      </c>
      <c r="L13" s="24">
        <v>45288</v>
      </c>
    </row>
    <row r="14" spans="1:12" x14ac:dyDescent="0.25">
      <c r="A14" s="3" t="str">
        <f t="shared" si="0"/>
        <v>MONIAULA-C1</v>
      </c>
      <c r="B14" s="6">
        <v>1</v>
      </c>
      <c r="C14" s="3" t="s">
        <v>4</v>
      </c>
      <c r="D14" s="3" t="s">
        <v>1</v>
      </c>
      <c r="E14" s="3" t="s">
        <v>17</v>
      </c>
      <c r="F14" s="3" t="s">
        <v>97</v>
      </c>
      <c r="G14" s="5" t="s">
        <v>79</v>
      </c>
      <c r="H14" s="14" t="s">
        <v>75</v>
      </c>
      <c r="I14" s="6" t="s">
        <v>3</v>
      </c>
      <c r="J14" s="3" t="s">
        <v>98</v>
      </c>
      <c r="K14" s="21">
        <v>60</v>
      </c>
      <c r="L14" s="24">
        <v>45288</v>
      </c>
    </row>
    <row r="15" spans="1:12" x14ac:dyDescent="0.25">
      <c r="A15" s="3" t="str">
        <f t="shared" si="0"/>
        <v>MOUSAULA-C1</v>
      </c>
      <c r="B15" s="6">
        <v>1</v>
      </c>
      <c r="C15" s="3" t="s">
        <v>6</v>
      </c>
      <c r="D15" s="3" t="s">
        <v>1</v>
      </c>
      <c r="E15" s="3" t="s">
        <v>81</v>
      </c>
      <c r="F15" s="3" t="s">
        <v>82</v>
      </c>
      <c r="G15" s="5" t="s">
        <v>83</v>
      </c>
      <c r="H15" s="14" t="s">
        <v>75</v>
      </c>
      <c r="I15" s="6" t="s">
        <v>3</v>
      </c>
      <c r="J15" s="3" t="s">
        <v>84</v>
      </c>
      <c r="K15" s="21">
        <v>5</v>
      </c>
      <c r="L15" s="24">
        <v>45288</v>
      </c>
    </row>
    <row r="16" spans="1:12" x14ac:dyDescent="0.25">
      <c r="A16" s="3" t="str">
        <f t="shared" si="0"/>
        <v>TECLAULA-C1</v>
      </c>
      <c r="B16" s="6">
        <v>1</v>
      </c>
      <c r="C16" s="3" t="s">
        <v>11</v>
      </c>
      <c r="D16" s="3" t="s">
        <v>1</v>
      </c>
      <c r="E16" s="3" t="s">
        <v>18</v>
      </c>
      <c r="F16" s="3" t="s">
        <v>85</v>
      </c>
      <c r="G16" s="5" t="s">
        <v>83</v>
      </c>
      <c r="H16" s="14" t="s">
        <v>75</v>
      </c>
      <c r="I16" s="6" t="s">
        <v>3</v>
      </c>
      <c r="J16" s="3" t="s">
        <v>570</v>
      </c>
      <c r="K16" s="21">
        <v>16.7</v>
      </c>
      <c r="L16" s="24">
        <v>45288</v>
      </c>
    </row>
    <row r="17" spans="1:12" x14ac:dyDescent="0.25">
      <c r="A17" s="3" t="str">
        <f t="shared" si="0"/>
        <v>PROYAULA-C1</v>
      </c>
      <c r="B17" s="6">
        <v>1</v>
      </c>
      <c r="C17" s="3" t="s">
        <v>45</v>
      </c>
      <c r="D17" s="3" t="s">
        <v>1</v>
      </c>
      <c r="E17" s="3" t="s">
        <v>46</v>
      </c>
      <c r="F17" s="3" t="s">
        <v>86</v>
      </c>
      <c r="G17" s="5" t="s">
        <v>87</v>
      </c>
      <c r="H17" s="14" t="s">
        <v>75</v>
      </c>
      <c r="I17" s="6" t="s">
        <v>3</v>
      </c>
      <c r="J17" s="3" t="s">
        <v>111</v>
      </c>
      <c r="K17" s="21">
        <v>400</v>
      </c>
      <c r="L17" s="24">
        <v>45288</v>
      </c>
    </row>
    <row r="18" spans="1:12" x14ac:dyDescent="0.25">
      <c r="A18" s="3" t="str">
        <f t="shared" si="0"/>
        <v>PARLAULA-C1</v>
      </c>
      <c r="B18" s="6">
        <v>1</v>
      </c>
      <c r="C18" s="3" t="s">
        <v>491</v>
      </c>
      <c r="D18" s="3" t="s">
        <v>1</v>
      </c>
      <c r="E18" s="3" t="s">
        <v>88</v>
      </c>
      <c r="F18" s="3" t="s">
        <v>89</v>
      </c>
      <c r="G18" s="5" t="s">
        <v>90</v>
      </c>
      <c r="H18" s="14" t="s">
        <v>75</v>
      </c>
      <c r="I18" s="6" t="s">
        <v>3</v>
      </c>
      <c r="J18" s="3" t="s">
        <v>548</v>
      </c>
      <c r="K18" s="21">
        <v>103</v>
      </c>
      <c r="L18" s="24">
        <v>45288</v>
      </c>
    </row>
    <row r="19" spans="1:12" ht="15.75" customHeight="1" x14ac:dyDescent="0.25">
      <c r="A19" s="3" t="str">
        <f t="shared" si="0"/>
        <v>CAMAAULA-C1</v>
      </c>
      <c r="B19" s="6">
        <v>1</v>
      </c>
      <c r="C19" s="3" t="s">
        <v>92</v>
      </c>
      <c r="D19" s="3" t="s">
        <v>9</v>
      </c>
      <c r="E19" s="3" t="s">
        <v>53</v>
      </c>
      <c r="F19" s="3" t="s">
        <v>85</v>
      </c>
      <c r="G19" s="5" t="s">
        <v>83</v>
      </c>
      <c r="H19" s="14" t="s">
        <v>75</v>
      </c>
      <c r="I19" s="6" t="s">
        <v>3</v>
      </c>
      <c r="J19" s="3" t="s">
        <v>93</v>
      </c>
      <c r="K19" s="21">
        <v>25</v>
      </c>
      <c r="L19" s="24">
        <v>44841</v>
      </c>
    </row>
    <row r="20" spans="1:12" x14ac:dyDescent="0.25">
      <c r="A20" s="3" t="str">
        <f t="shared" si="0"/>
        <v>SENSAULA-C1</v>
      </c>
      <c r="B20" s="6">
        <v>1</v>
      </c>
      <c r="C20" s="3" t="s">
        <v>19</v>
      </c>
      <c r="D20" s="3" t="s">
        <v>9</v>
      </c>
      <c r="E20" s="3" t="s">
        <v>94</v>
      </c>
      <c r="F20" s="3" t="s">
        <v>95</v>
      </c>
      <c r="G20" s="5">
        <v>88030080</v>
      </c>
      <c r="H20" s="14" t="s">
        <v>75</v>
      </c>
      <c r="I20" s="6" t="s">
        <v>3</v>
      </c>
      <c r="J20" s="3" t="s">
        <v>96</v>
      </c>
      <c r="K20" s="21">
        <v>20</v>
      </c>
      <c r="L20" s="24">
        <v>44841</v>
      </c>
    </row>
    <row r="21" spans="1:12" x14ac:dyDescent="0.25">
      <c r="A21" s="3" t="str">
        <f t="shared" si="0"/>
        <v/>
      </c>
      <c r="B21" s="6"/>
      <c r="C21" s="3"/>
      <c r="D21" s="3"/>
      <c r="E21" s="3"/>
      <c r="F21" s="3"/>
      <c r="G21" s="5"/>
      <c r="H21" s="14"/>
      <c r="I21" s="6"/>
      <c r="J21" s="3"/>
      <c r="K21" s="21"/>
      <c r="L21" s="3"/>
    </row>
    <row r="22" spans="1:12" x14ac:dyDescent="0.25">
      <c r="A22" s="3" t="str">
        <f t="shared" si="0"/>
        <v/>
      </c>
      <c r="B22" s="6"/>
      <c r="C22" s="3"/>
      <c r="D22" s="3"/>
      <c r="E22" s="3"/>
      <c r="F22" s="3"/>
      <c r="G22" s="5"/>
      <c r="H22" s="14"/>
      <c r="I22" s="6"/>
      <c r="J22" s="3"/>
      <c r="K22" s="21"/>
      <c r="L22" s="3"/>
    </row>
    <row r="23" spans="1:12" x14ac:dyDescent="0.25">
      <c r="A23" s="3" t="str">
        <f t="shared" si="0"/>
        <v/>
      </c>
      <c r="B23" s="6"/>
      <c r="C23" s="3"/>
      <c r="D23" s="3"/>
      <c r="E23" s="3"/>
      <c r="F23" s="3"/>
      <c r="G23" s="5"/>
      <c r="H23" s="14"/>
      <c r="I23" s="6"/>
      <c r="J23" s="3"/>
      <c r="K23" s="21"/>
      <c r="L23" s="3"/>
    </row>
    <row r="24" spans="1:12" s="1" customFormat="1" x14ac:dyDescent="0.25">
      <c r="A24" s="9" t="s">
        <v>70</v>
      </c>
      <c r="B24" s="9" t="s">
        <v>69</v>
      </c>
      <c r="C24" s="9" t="s">
        <v>71</v>
      </c>
      <c r="D24" s="9" t="s">
        <v>63</v>
      </c>
      <c r="E24" s="9" t="s">
        <v>64</v>
      </c>
      <c r="F24" s="9" t="s">
        <v>65</v>
      </c>
      <c r="G24" s="10" t="s">
        <v>78</v>
      </c>
      <c r="H24" s="9" t="s">
        <v>66</v>
      </c>
      <c r="I24" s="9" t="s">
        <v>67</v>
      </c>
      <c r="J24" s="9" t="s">
        <v>72</v>
      </c>
      <c r="K24" s="22" t="s">
        <v>68</v>
      </c>
      <c r="L24" s="9" t="s">
        <v>584</v>
      </c>
    </row>
    <row r="25" spans="1:12" x14ac:dyDescent="0.25">
      <c r="A25" s="3" t="str">
        <f t="shared" si="0"/>
        <v>CPUAULA-C2</v>
      </c>
      <c r="B25" s="6">
        <v>1</v>
      </c>
      <c r="C25" s="3" t="s">
        <v>0</v>
      </c>
      <c r="D25" s="3" t="s">
        <v>1</v>
      </c>
      <c r="E25" s="3" t="s">
        <v>18</v>
      </c>
      <c r="F25" s="3" t="s">
        <v>81</v>
      </c>
      <c r="G25" s="5">
        <v>91225062019</v>
      </c>
      <c r="H25" s="14" t="s">
        <v>76</v>
      </c>
      <c r="I25" s="6" t="s">
        <v>3</v>
      </c>
      <c r="J25" s="3" t="s">
        <v>91</v>
      </c>
      <c r="K25" s="21">
        <v>250</v>
      </c>
      <c r="L25" s="24">
        <v>45288</v>
      </c>
    </row>
    <row r="26" spans="1:12" x14ac:dyDescent="0.25">
      <c r="A26" s="3" t="str">
        <f t="shared" si="0"/>
        <v>MONIAULA-C2</v>
      </c>
      <c r="B26" s="6">
        <v>1</v>
      </c>
      <c r="C26" s="3" t="s">
        <v>4</v>
      </c>
      <c r="D26" s="3" t="s">
        <v>1</v>
      </c>
      <c r="E26" s="3" t="s">
        <v>17</v>
      </c>
      <c r="F26" s="3" t="s">
        <v>97</v>
      </c>
      <c r="G26" s="5" t="s">
        <v>55</v>
      </c>
      <c r="H26" s="14" t="s">
        <v>76</v>
      </c>
      <c r="I26" s="6" t="s">
        <v>3</v>
      </c>
      <c r="J26" s="3" t="s">
        <v>98</v>
      </c>
      <c r="K26" s="21">
        <v>60</v>
      </c>
      <c r="L26" s="24">
        <v>45288</v>
      </c>
    </row>
    <row r="27" spans="1:12" x14ac:dyDescent="0.25">
      <c r="A27" s="3" t="str">
        <f t="shared" si="0"/>
        <v>MOUSAULA-C2</v>
      </c>
      <c r="B27" s="6">
        <v>1</v>
      </c>
      <c r="C27" s="3" t="s">
        <v>6</v>
      </c>
      <c r="D27" s="3" t="s">
        <v>1</v>
      </c>
      <c r="E27" s="3" t="s">
        <v>14</v>
      </c>
      <c r="F27" s="3" t="s">
        <v>99</v>
      </c>
      <c r="G27" s="5" t="s">
        <v>100</v>
      </c>
      <c r="H27" s="14" t="s">
        <v>76</v>
      </c>
      <c r="I27" s="6" t="s">
        <v>3</v>
      </c>
      <c r="J27" s="3" t="s">
        <v>540</v>
      </c>
      <c r="K27" s="21">
        <v>6</v>
      </c>
      <c r="L27" s="24">
        <v>45288</v>
      </c>
    </row>
    <row r="28" spans="1:12" x14ac:dyDescent="0.25">
      <c r="A28" s="3" t="str">
        <f t="shared" si="0"/>
        <v>TECLAULA-C2</v>
      </c>
      <c r="B28" s="6">
        <v>1</v>
      </c>
      <c r="C28" s="3" t="s">
        <v>11</v>
      </c>
      <c r="D28" s="3" t="s">
        <v>1</v>
      </c>
      <c r="E28" s="3" t="s">
        <v>18</v>
      </c>
      <c r="F28" s="3" t="s">
        <v>85</v>
      </c>
      <c r="G28" s="5" t="s">
        <v>83</v>
      </c>
      <c r="H28" s="14" t="s">
        <v>76</v>
      </c>
      <c r="I28" s="6" t="s">
        <v>3</v>
      </c>
      <c r="J28" s="3" t="s">
        <v>570</v>
      </c>
      <c r="K28" s="21">
        <v>16.7</v>
      </c>
      <c r="L28" s="24">
        <v>45288</v>
      </c>
    </row>
    <row r="29" spans="1:12" x14ac:dyDescent="0.25">
      <c r="A29" s="3" t="str">
        <f t="shared" si="0"/>
        <v>PROYAULA-C2</v>
      </c>
      <c r="B29" s="6">
        <v>1</v>
      </c>
      <c r="C29" s="3" t="s">
        <v>45</v>
      </c>
      <c r="D29" s="3" t="s">
        <v>1</v>
      </c>
      <c r="E29" s="3" t="s">
        <v>46</v>
      </c>
      <c r="F29" s="3" t="s">
        <v>86</v>
      </c>
      <c r="G29" s="5" t="s">
        <v>101</v>
      </c>
      <c r="H29" s="14" t="s">
        <v>76</v>
      </c>
      <c r="I29" s="6" t="s">
        <v>3</v>
      </c>
      <c r="J29" s="3" t="s">
        <v>111</v>
      </c>
      <c r="K29" s="21">
        <v>400</v>
      </c>
      <c r="L29" s="24">
        <v>45288</v>
      </c>
    </row>
    <row r="30" spans="1:12" x14ac:dyDescent="0.25">
      <c r="A30" s="3" t="str">
        <f t="shared" si="0"/>
        <v>PARLAULA-C2</v>
      </c>
      <c r="B30" s="6">
        <v>1</v>
      </c>
      <c r="C30" s="3" t="s">
        <v>491</v>
      </c>
      <c r="D30" s="3" t="s">
        <v>1</v>
      </c>
      <c r="E30" s="3" t="s">
        <v>88</v>
      </c>
      <c r="F30" s="3" t="s">
        <v>89</v>
      </c>
      <c r="G30" s="5" t="s">
        <v>102</v>
      </c>
      <c r="H30" s="14" t="s">
        <v>76</v>
      </c>
      <c r="I30" s="6" t="s">
        <v>3</v>
      </c>
      <c r="J30" s="3" t="s">
        <v>548</v>
      </c>
      <c r="K30" s="21">
        <v>103</v>
      </c>
      <c r="L30" s="24">
        <v>45288</v>
      </c>
    </row>
    <row r="31" spans="1:12" x14ac:dyDescent="0.25">
      <c r="A31" s="3" t="str">
        <f t="shared" si="0"/>
        <v>CAMAAULA-C2</v>
      </c>
      <c r="B31" s="6">
        <v>1</v>
      </c>
      <c r="C31" s="3" t="s">
        <v>92</v>
      </c>
      <c r="D31" s="3" t="s">
        <v>9</v>
      </c>
      <c r="E31" s="3" t="s">
        <v>53</v>
      </c>
      <c r="F31" s="3" t="s">
        <v>85</v>
      </c>
      <c r="G31" s="5" t="s">
        <v>83</v>
      </c>
      <c r="H31" s="14" t="s">
        <v>76</v>
      </c>
      <c r="I31" s="6" t="s">
        <v>3</v>
      </c>
      <c r="J31" s="3" t="s">
        <v>93</v>
      </c>
      <c r="K31" s="21">
        <v>25</v>
      </c>
      <c r="L31" s="24">
        <v>44841</v>
      </c>
    </row>
    <row r="32" spans="1:12" x14ac:dyDescent="0.25">
      <c r="A32" s="3" t="str">
        <f t="shared" si="0"/>
        <v>SENSAULA-C2</v>
      </c>
      <c r="B32" s="6">
        <v>1</v>
      </c>
      <c r="C32" s="3" t="s">
        <v>19</v>
      </c>
      <c r="D32" s="3" t="s">
        <v>9</v>
      </c>
      <c r="E32" s="3" t="s">
        <v>94</v>
      </c>
      <c r="F32" s="3" t="s">
        <v>95</v>
      </c>
      <c r="G32" s="5">
        <v>88030080</v>
      </c>
      <c r="H32" s="14" t="s">
        <v>76</v>
      </c>
      <c r="I32" s="6" t="s">
        <v>3</v>
      </c>
      <c r="J32" s="3" t="s">
        <v>96</v>
      </c>
      <c r="K32" s="21">
        <v>20</v>
      </c>
      <c r="L32" s="24">
        <v>44841</v>
      </c>
    </row>
    <row r="33" spans="1:12" x14ac:dyDescent="0.25">
      <c r="A33" s="3" t="str">
        <f t="shared" si="0"/>
        <v>SWITAULA-C2</v>
      </c>
      <c r="B33" s="6">
        <v>1</v>
      </c>
      <c r="C33" s="3" t="s">
        <v>103</v>
      </c>
      <c r="D33" s="3" t="s">
        <v>104</v>
      </c>
      <c r="E33" s="3" t="s">
        <v>488</v>
      </c>
      <c r="F33" s="3" t="s">
        <v>489</v>
      </c>
      <c r="G33" s="5" t="s">
        <v>490</v>
      </c>
      <c r="H33" s="14" t="s">
        <v>76</v>
      </c>
      <c r="I33" s="6" t="s">
        <v>3</v>
      </c>
      <c r="J33" s="3" t="s">
        <v>569</v>
      </c>
      <c r="K33" s="21">
        <v>22</v>
      </c>
      <c r="L33" s="24">
        <v>45288</v>
      </c>
    </row>
    <row r="34" spans="1:12" x14ac:dyDescent="0.25">
      <c r="A34" s="3" t="str">
        <f t="shared" si="0"/>
        <v>REGUAULA-C2</v>
      </c>
      <c r="B34" s="6">
        <v>1</v>
      </c>
      <c r="C34" s="3" t="s">
        <v>8</v>
      </c>
      <c r="D34" s="3" t="s">
        <v>1</v>
      </c>
      <c r="E34" s="3" t="s">
        <v>18</v>
      </c>
      <c r="F34" s="3" t="s">
        <v>105</v>
      </c>
      <c r="G34" s="5" t="s">
        <v>106</v>
      </c>
      <c r="H34" s="14" t="s">
        <v>76</v>
      </c>
      <c r="I34" s="6" t="s">
        <v>3</v>
      </c>
      <c r="J34" s="3" t="s">
        <v>554</v>
      </c>
      <c r="K34" s="21">
        <v>15</v>
      </c>
      <c r="L34" s="24">
        <v>45288</v>
      </c>
    </row>
    <row r="35" spans="1:12" x14ac:dyDescent="0.25">
      <c r="A35" s="3" t="str">
        <f t="shared" si="0"/>
        <v/>
      </c>
      <c r="B35" s="6"/>
      <c r="C35" s="3"/>
      <c r="D35" s="3"/>
      <c r="E35" s="3"/>
      <c r="F35" s="3"/>
      <c r="G35" s="5"/>
      <c r="H35" s="14"/>
      <c r="I35" s="6"/>
      <c r="J35" s="3"/>
      <c r="K35" s="21"/>
      <c r="L35" s="3"/>
    </row>
    <row r="36" spans="1:12" x14ac:dyDescent="0.25">
      <c r="A36" s="3" t="str">
        <f t="shared" si="0"/>
        <v/>
      </c>
      <c r="B36" s="6"/>
      <c r="C36" s="3"/>
      <c r="D36" s="3"/>
      <c r="E36" s="3"/>
      <c r="F36" s="3"/>
      <c r="G36" s="5"/>
      <c r="H36" s="14"/>
      <c r="I36" s="6"/>
      <c r="J36" s="3"/>
      <c r="K36" s="21"/>
      <c r="L36" s="3"/>
    </row>
    <row r="37" spans="1:12" x14ac:dyDescent="0.25">
      <c r="A37" s="3" t="str">
        <f t="shared" si="0"/>
        <v/>
      </c>
      <c r="B37" s="6"/>
      <c r="C37" s="3"/>
      <c r="D37" s="6"/>
      <c r="E37" s="6"/>
      <c r="F37" s="6"/>
      <c r="G37" s="7"/>
      <c r="H37" s="14"/>
      <c r="I37" s="6"/>
      <c r="J37" s="3"/>
      <c r="K37" s="21"/>
      <c r="L37" s="3"/>
    </row>
    <row r="38" spans="1:12" s="1" customFormat="1" x14ac:dyDescent="0.25">
      <c r="A38" s="9" t="s">
        <v>70</v>
      </c>
      <c r="B38" s="9" t="s">
        <v>69</v>
      </c>
      <c r="C38" s="9" t="s">
        <v>71</v>
      </c>
      <c r="D38" s="9" t="s">
        <v>63</v>
      </c>
      <c r="E38" s="9" t="s">
        <v>64</v>
      </c>
      <c r="F38" s="9" t="s">
        <v>65</v>
      </c>
      <c r="G38" s="10" t="s">
        <v>78</v>
      </c>
      <c r="H38" s="9" t="s">
        <v>66</v>
      </c>
      <c r="I38" s="9" t="s">
        <v>67</v>
      </c>
      <c r="J38" s="9" t="s">
        <v>72</v>
      </c>
      <c r="K38" s="22" t="s">
        <v>68</v>
      </c>
      <c r="L38" s="9" t="s">
        <v>584</v>
      </c>
    </row>
    <row r="39" spans="1:12" x14ac:dyDescent="0.25">
      <c r="A39" s="3" t="str">
        <f t="shared" ref="A39:A107" si="1">CONCATENATE(LEFT(C39,4),LEFT(H39,8))</f>
        <v>CPUAULA-C3</v>
      </c>
      <c r="B39" s="6">
        <v>1</v>
      </c>
      <c r="C39" s="3" t="s">
        <v>0</v>
      </c>
      <c r="D39" s="14" t="s">
        <v>1</v>
      </c>
      <c r="E39" s="14" t="s">
        <v>13</v>
      </c>
      <c r="F39" s="14" t="s">
        <v>85</v>
      </c>
      <c r="G39" s="13" t="s">
        <v>83</v>
      </c>
      <c r="H39" s="14" t="s">
        <v>77</v>
      </c>
      <c r="I39" s="6" t="s">
        <v>3</v>
      </c>
      <c r="J39" s="3" t="s">
        <v>107</v>
      </c>
      <c r="K39" s="21">
        <v>250</v>
      </c>
      <c r="L39" s="24">
        <v>45288</v>
      </c>
    </row>
    <row r="40" spans="1:12" x14ac:dyDescent="0.25">
      <c r="A40" s="3" t="str">
        <f t="shared" si="1"/>
        <v>MONIAULA-C3</v>
      </c>
      <c r="B40" s="6">
        <v>1</v>
      </c>
      <c r="C40" s="3" t="s">
        <v>4</v>
      </c>
      <c r="D40" s="14" t="s">
        <v>1</v>
      </c>
      <c r="E40" s="14" t="s">
        <v>12</v>
      </c>
      <c r="F40" s="14" t="s">
        <v>108</v>
      </c>
      <c r="G40" s="13" t="s">
        <v>16</v>
      </c>
      <c r="H40" s="14" t="s">
        <v>77</v>
      </c>
      <c r="I40" s="6" t="s">
        <v>3</v>
      </c>
      <c r="J40" s="3" t="s">
        <v>80</v>
      </c>
      <c r="K40" s="21">
        <v>100</v>
      </c>
      <c r="L40" s="24">
        <v>45288</v>
      </c>
    </row>
    <row r="41" spans="1:12" x14ac:dyDescent="0.25">
      <c r="A41" s="3" t="str">
        <f t="shared" si="1"/>
        <v>MOUSAULA-C3</v>
      </c>
      <c r="B41" s="6">
        <v>1</v>
      </c>
      <c r="C41" s="3" t="s">
        <v>6</v>
      </c>
      <c r="D41" s="14" t="s">
        <v>109</v>
      </c>
      <c r="E41" s="14" t="s">
        <v>18</v>
      </c>
      <c r="F41" s="14" t="s">
        <v>85</v>
      </c>
      <c r="G41" s="13" t="s">
        <v>83</v>
      </c>
      <c r="H41" s="14" t="s">
        <v>77</v>
      </c>
      <c r="I41" s="6" t="s">
        <v>3</v>
      </c>
      <c r="J41" s="3" t="s">
        <v>541</v>
      </c>
      <c r="K41" s="21">
        <v>5</v>
      </c>
      <c r="L41" s="24">
        <v>45288</v>
      </c>
    </row>
    <row r="42" spans="1:12" x14ac:dyDescent="0.25">
      <c r="A42" s="3" t="str">
        <f t="shared" si="1"/>
        <v>TECLAULA-C3</v>
      </c>
      <c r="B42" s="6">
        <v>1</v>
      </c>
      <c r="C42" s="3" t="s">
        <v>11</v>
      </c>
      <c r="D42" s="14" t="s">
        <v>1</v>
      </c>
      <c r="E42" s="14" t="s">
        <v>81</v>
      </c>
      <c r="F42" s="14" t="s">
        <v>85</v>
      </c>
      <c r="G42" s="13" t="s">
        <v>83</v>
      </c>
      <c r="H42" s="14" t="s">
        <v>77</v>
      </c>
      <c r="I42" s="6" t="s">
        <v>3</v>
      </c>
      <c r="J42" s="3" t="s">
        <v>573</v>
      </c>
      <c r="K42" s="21">
        <v>12</v>
      </c>
      <c r="L42" s="24">
        <v>45288</v>
      </c>
    </row>
    <row r="43" spans="1:12" x14ac:dyDescent="0.25">
      <c r="A43" s="3" t="str">
        <f t="shared" si="1"/>
        <v>PROYAULA-C3</v>
      </c>
      <c r="B43" s="6">
        <v>1</v>
      </c>
      <c r="C43" s="3" t="s">
        <v>45</v>
      </c>
      <c r="D43" s="14" t="s">
        <v>1</v>
      </c>
      <c r="E43" s="14" t="s">
        <v>46</v>
      </c>
      <c r="F43" s="14" t="s">
        <v>86</v>
      </c>
      <c r="G43" s="13" t="s">
        <v>110</v>
      </c>
      <c r="H43" s="14" t="s">
        <v>77</v>
      </c>
      <c r="I43" s="6" t="s">
        <v>3</v>
      </c>
      <c r="J43" s="3" t="s">
        <v>111</v>
      </c>
      <c r="K43" s="21">
        <v>400</v>
      </c>
      <c r="L43" s="24">
        <v>45288</v>
      </c>
    </row>
    <row r="44" spans="1:12" x14ac:dyDescent="0.25">
      <c r="A44" s="3" t="str">
        <f t="shared" si="1"/>
        <v>PARLAULA-C3</v>
      </c>
      <c r="B44" s="6">
        <v>1</v>
      </c>
      <c r="C44" s="3" t="s">
        <v>491</v>
      </c>
      <c r="D44" s="14" t="s">
        <v>1</v>
      </c>
      <c r="E44" s="14" t="s">
        <v>88</v>
      </c>
      <c r="F44" s="14" t="s">
        <v>89</v>
      </c>
      <c r="G44" s="13" t="s">
        <v>90</v>
      </c>
      <c r="H44" s="14" t="s">
        <v>77</v>
      </c>
      <c r="I44" s="6" t="s">
        <v>3</v>
      </c>
      <c r="J44" s="3" t="s">
        <v>548</v>
      </c>
      <c r="K44" s="21">
        <v>103</v>
      </c>
      <c r="L44" s="24">
        <v>45288</v>
      </c>
    </row>
    <row r="45" spans="1:12" x14ac:dyDescent="0.25">
      <c r="A45" s="3" t="str">
        <f t="shared" si="1"/>
        <v>CAMAAULA-C3</v>
      </c>
      <c r="B45" s="6">
        <v>1</v>
      </c>
      <c r="C45" s="3" t="s">
        <v>92</v>
      </c>
      <c r="D45" s="14" t="s">
        <v>9</v>
      </c>
      <c r="E45" s="14" t="s">
        <v>53</v>
      </c>
      <c r="F45" s="14" t="s">
        <v>85</v>
      </c>
      <c r="G45" s="13" t="s">
        <v>83</v>
      </c>
      <c r="H45" s="14" t="s">
        <v>77</v>
      </c>
      <c r="I45" s="6" t="s">
        <v>3</v>
      </c>
      <c r="J45" s="3" t="s">
        <v>93</v>
      </c>
      <c r="K45" s="21">
        <v>25</v>
      </c>
      <c r="L45" s="24">
        <v>44841</v>
      </c>
    </row>
    <row r="46" spans="1:12" x14ac:dyDescent="0.25">
      <c r="A46" s="3" t="str">
        <f t="shared" si="1"/>
        <v>SENSAULA-C3</v>
      </c>
      <c r="B46" s="6">
        <v>1</v>
      </c>
      <c r="C46" s="3" t="s">
        <v>19</v>
      </c>
      <c r="D46" s="14" t="s">
        <v>9</v>
      </c>
      <c r="E46" s="14" t="s">
        <v>94</v>
      </c>
      <c r="F46" s="14" t="s">
        <v>95</v>
      </c>
      <c r="G46" s="13">
        <v>88030080</v>
      </c>
      <c r="H46" s="14" t="s">
        <v>77</v>
      </c>
      <c r="I46" s="6" t="s">
        <v>3</v>
      </c>
      <c r="J46" s="3" t="s">
        <v>96</v>
      </c>
      <c r="K46" s="21">
        <v>20</v>
      </c>
      <c r="L46" s="24">
        <v>44841</v>
      </c>
    </row>
    <row r="47" spans="1:12" x14ac:dyDescent="0.25">
      <c r="A47" s="3" t="str">
        <f t="shared" si="1"/>
        <v/>
      </c>
      <c r="B47" s="6"/>
      <c r="C47" s="3"/>
      <c r="D47" s="14"/>
      <c r="E47" s="14"/>
      <c r="F47" s="14"/>
      <c r="G47" s="13"/>
      <c r="H47" s="14"/>
      <c r="I47" s="6"/>
      <c r="J47" s="3"/>
      <c r="K47" s="21"/>
      <c r="L47" s="3"/>
    </row>
    <row r="48" spans="1:12" x14ac:dyDescent="0.25">
      <c r="A48" s="3" t="str">
        <f t="shared" si="1"/>
        <v/>
      </c>
      <c r="B48" s="6"/>
      <c r="C48" s="3"/>
      <c r="D48" s="14"/>
      <c r="E48" s="14"/>
      <c r="F48" s="14"/>
      <c r="G48" s="13"/>
      <c r="H48" s="14"/>
      <c r="I48" s="6"/>
      <c r="J48" s="3"/>
      <c r="K48" s="21"/>
      <c r="L48" s="3"/>
    </row>
    <row r="49" spans="1:12" x14ac:dyDescent="0.25">
      <c r="A49" s="3" t="str">
        <f t="shared" ref="A49" si="2">CONCATENATE(LEFT(C49,4),LEFT(H49,8))</f>
        <v/>
      </c>
      <c r="B49" s="6"/>
      <c r="C49" s="3"/>
      <c r="D49" s="14"/>
      <c r="E49" s="14"/>
      <c r="F49" s="14"/>
      <c r="G49" s="13"/>
      <c r="H49" s="14"/>
      <c r="I49" s="6"/>
      <c r="J49" s="3"/>
      <c r="K49" s="21"/>
      <c r="L49" s="3"/>
    </row>
    <row r="50" spans="1:12" s="1" customFormat="1" x14ac:dyDescent="0.25">
      <c r="A50" s="9" t="s">
        <v>70</v>
      </c>
      <c r="B50" s="9" t="s">
        <v>69</v>
      </c>
      <c r="C50" s="9" t="s">
        <v>71</v>
      </c>
      <c r="D50" s="9" t="s">
        <v>63</v>
      </c>
      <c r="E50" s="9" t="s">
        <v>64</v>
      </c>
      <c r="F50" s="9" t="s">
        <v>65</v>
      </c>
      <c r="G50" s="10" t="s">
        <v>78</v>
      </c>
      <c r="H50" s="9" t="s">
        <v>66</v>
      </c>
      <c r="I50" s="9" t="s">
        <v>67</v>
      </c>
      <c r="J50" s="9" t="s">
        <v>72</v>
      </c>
      <c r="K50" s="22" t="s">
        <v>68</v>
      </c>
      <c r="L50" s="9" t="s">
        <v>584</v>
      </c>
    </row>
    <row r="51" spans="1:12" x14ac:dyDescent="0.25">
      <c r="A51" s="3" t="str">
        <f>CONCATENATE(LEFT(C51,4),LEFT(H51,8))</f>
        <v xml:space="preserve">CPUAULA-E2 </v>
      </c>
      <c r="B51" s="6">
        <v>1</v>
      </c>
      <c r="C51" s="3" t="s">
        <v>0</v>
      </c>
      <c r="D51" s="14" t="s">
        <v>1</v>
      </c>
      <c r="E51" s="14" t="s">
        <v>2</v>
      </c>
      <c r="F51" s="14" t="s">
        <v>114</v>
      </c>
      <c r="G51" s="13">
        <v>81834</v>
      </c>
      <c r="H51" s="14" t="s">
        <v>576</v>
      </c>
      <c r="I51" s="6" t="s">
        <v>3</v>
      </c>
      <c r="J51" s="3" t="s">
        <v>115</v>
      </c>
      <c r="K51" s="21">
        <v>250</v>
      </c>
      <c r="L51" s="24">
        <v>45288</v>
      </c>
    </row>
    <row r="52" spans="1:12" x14ac:dyDescent="0.25">
      <c r="A52" s="3" t="str">
        <f t="shared" si="1"/>
        <v>MOUSAULA-E2</v>
      </c>
      <c r="B52" s="6">
        <v>1</v>
      </c>
      <c r="C52" s="3" t="s">
        <v>6</v>
      </c>
      <c r="D52" s="14" t="s">
        <v>109</v>
      </c>
      <c r="E52" s="14" t="s">
        <v>18</v>
      </c>
      <c r="F52" s="14" t="s">
        <v>85</v>
      </c>
      <c r="G52" s="13" t="s">
        <v>83</v>
      </c>
      <c r="H52" s="14" t="s">
        <v>113</v>
      </c>
      <c r="I52" s="6" t="s">
        <v>3</v>
      </c>
      <c r="J52" s="3" t="s">
        <v>541</v>
      </c>
      <c r="K52" s="21">
        <v>5</v>
      </c>
      <c r="L52" s="24">
        <v>45288</v>
      </c>
    </row>
    <row r="53" spans="1:12" x14ac:dyDescent="0.25">
      <c r="A53" s="3" t="str">
        <f t="shared" si="1"/>
        <v>TECLAULA-E2</v>
      </c>
      <c r="B53" s="6">
        <v>1</v>
      </c>
      <c r="C53" s="3" t="s">
        <v>11</v>
      </c>
      <c r="D53" s="14" t="s">
        <v>1</v>
      </c>
      <c r="E53" s="14" t="s">
        <v>13</v>
      </c>
      <c r="F53" s="14" t="s">
        <v>116</v>
      </c>
      <c r="G53" s="13" t="s">
        <v>20</v>
      </c>
      <c r="H53" s="14" t="s">
        <v>113</v>
      </c>
      <c r="I53" s="6" t="s">
        <v>3</v>
      </c>
      <c r="J53" s="3" t="s">
        <v>571</v>
      </c>
      <c r="K53" s="21">
        <v>17</v>
      </c>
      <c r="L53" s="24">
        <v>45288</v>
      </c>
    </row>
    <row r="54" spans="1:12" x14ac:dyDescent="0.25">
      <c r="A54" s="3" t="str">
        <f t="shared" si="1"/>
        <v>PROYAULA-E2</v>
      </c>
      <c r="B54" s="6">
        <v>1</v>
      </c>
      <c r="C54" s="3" t="s">
        <v>45</v>
      </c>
      <c r="D54" s="14" t="s">
        <v>9</v>
      </c>
      <c r="E54" s="14" t="s">
        <v>117</v>
      </c>
      <c r="F54" s="14" t="s">
        <v>118</v>
      </c>
      <c r="G54" s="13" t="s">
        <v>119</v>
      </c>
      <c r="H54" s="14" t="s">
        <v>113</v>
      </c>
      <c r="I54" s="6" t="s">
        <v>3</v>
      </c>
      <c r="J54" s="3" t="s">
        <v>120</v>
      </c>
      <c r="K54" s="21">
        <v>582.72</v>
      </c>
      <c r="L54" s="24">
        <v>45288</v>
      </c>
    </row>
    <row r="55" spans="1:12" x14ac:dyDescent="0.25">
      <c r="A55" s="3" t="str">
        <f t="shared" si="1"/>
        <v>CONTAULA-E2</v>
      </c>
      <c r="B55" s="6">
        <v>1</v>
      </c>
      <c r="C55" s="3" t="s">
        <v>60</v>
      </c>
      <c r="D55" s="14" t="s">
        <v>9</v>
      </c>
      <c r="E55" s="14" t="s">
        <v>117</v>
      </c>
      <c r="F55" s="14" t="s">
        <v>128</v>
      </c>
      <c r="G55" s="13" t="s">
        <v>83</v>
      </c>
      <c r="H55" s="14" t="s">
        <v>113</v>
      </c>
      <c r="I55" s="6" t="s">
        <v>3</v>
      </c>
      <c r="J55" s="3" t="s">
        <v>129</v>
      </c>
      <c r="K55" s="21">
        <v>10</v>
      </c>
      <c r="L55" s="24">
        <v>45288</v>
      </c>
    </row>
    <row r="56" spans="1:12" x14ac:dyDescent="0.25">
      <c r="A56" s="3" t="str">
        <f t="shared" si="1"/>
        <v>PARLAULA-E2</v>
      </c>
      <c r="B56" s="6">
        <v>1</v>
      </c>
      <c r="C56" s="3" t="s">
        <v>491</v>
      </c>
      <c r="D56" s="14" t="s">
        <v>1</v>
      </c>
      <c r="E56" s="14" t="s">
        <v>88</v>
      </c>
      <c r="F56" s="14" t="s">
        <v>89</v>
      </c>
      <c r="G56" s="13" t="s">
        <v>90</v>
      </c>
      <c r="H56" s="14" t="s">
        <v>113</v>
      </c>
      <c r="I56" s="6" t="s">
        <v>3</v>
      </c>
      <c r="J56" s="3" t="s">
        <v>548</v>
      </c>
      <c r="K56" s="21">
        <v>103</v>
      </c>
      <c r="L56" s="24">
        <v>45288</v>
      </c>
    </row>
    <row r="57" spans="1:12" x14ac:dyDescent="0.25">
      <c r="A57" s="3" t="str">
        <f t="shared" si="1"/>
        <v>CAMAAULA-E2</v>
      </c>
      <c r="B57" s="6">
        <v>1</v>
      </c>
      <c r="C57" s="3" t="s">
        <v>92</v>
      </c>
      <c r="D57" s="14" t="s">
        <v>9</v>
      </c>
      <c r="E57" s="14" t="s">
        <v>53</v>
      </c>
      <c r="F57" s="14" t="s">
        <v>85</v>
      </c>
      <c r="G57" s="13" t="s">
        <v>83</v>
      </c>
      <c r="H57" s="14" t="s">
        <v>113</v>
      </c>
      <c r="I57" s="6" t="s">
        <v>3</v>
      </c>
      <c r="J57" s="3" t="s">
        <v>93</v>
      </c>
      <c r="K57" s="21">
        <v>35</v>
      </c>
      <c r="L57" s="24">
        <v>45288</v>
      </c>
    </row>
    <row r="58" spans="1:12" x14ac:dyDescent="0.25">
      <c r="A58" s="3" t="str">
        <f t="shared" si="1"/>
        <v>SENSAULA-E2</v>
      </c>
      <c r="B58" s="6">
        <v>1</v>
      </c>
      <c r="C58" s="3" t="s">
        <v>19</v>
      </c>
      <c r="D58" s="14" t="s">
        <v>9</v>
      </c>
      <c r="E58" s="14" t="s">
        <v>94</v>
      </c>
      <c r="F58" s="14" t="s">
        <v>95</v>
      </c>
      <c r="G58" s="13">
        <v>88030080</v>
      </c>
      <c r="H58" s="14" t="s">
        <v>113</v>
      </c>
      <c r="I58" s="6" t="s">
        <v>3</v>
      </c>
      <c r="J58" s="3" t="s">
        <v>96</v>
      </c>
      <c r="K58" s="21">
        <v>20</v>
      </c>
      <c r="L58" s="24">
        <v>44841</v>
      </c>
    </row>
    <row r="59" spans="1:12" x14ac:dyDescent="0.25">
      <c r="A59" s="3" t="str">
        <f t="shared" si="1"/>
        <v>REGUAULA-E2</v>
      </c>
      <c r="B59" s="6">
        <v>1</v>
      </c>
      <c r="C59" s="3" t="s">
        <v>8</v>
      </c>
      <c r="D59" s="14" t="s">
        <v>1</v>
      </c>
      <c r="E59" s="14" t="s">
        <v>121</v>
      </c>
      <c r="F59" s="14" t="s">
        <v>123</v>
      </c>
      <c r="G59" s="13">
        <v>130414500</v>
      </c>
      <c r="H59" s="14" t="s">
        <v>113</v>
      </c>
      <c r="I59" s="6" t="s">
        <v>122</v>
      </c>
      <c r="J59" s="3" t="s">
        <v>555</v>
      </c>
      <c r="K59" s="21">
        <v>15</v>
      </c>
      <c r="L59" s="24">
        <v>45288</v>
      </c>
    </row>
    <row r="60" spans="1:12" x14ac:dyDescent="0.25">
      <c r="A60" s="3" t="str">
        <f t="shared" si="1"/>
        <v>ADAPAULA-E2</v>
      </c>
      <c r="B60" s="6">
        <v>1</v>
      </c>
      <c r="C60" s="3" t="s">
        <v>124</v>
      </c>
      <c r="D60" s="14" t="s">
        <v>9</v>
      </c>
      <c r="E60" s="14" t="s">
        <v>125</v>
      </c>
      <c r="F60" s="14" t="s">
        <v>126</v>
      </c>
      <c r="G60" s="13">
        <v>19320005685</v>
      </c>
      <c r="H60" s="14" t="s">
        <v>113</v>
      </c>
      <c r="I60" s="6" t="s">
        <v>3</v>
      </c>
      <c r="J60" s="3" t="s">
        <v>127</v>
      </c>
      <c r="K60" s="21">
        <v>40</v>
      </c>
      <c r="L60" s="24">
        <v>45288</v>
      </c>
    </row>
    <row r="61" spans="1:12" x14ac:dyDescent="0.25">
      <c r="A61" s="3" t="str">
        <f t="shared" si="1"/>
        <v/>
      </c>
      <c r="B61" s="6"/>
      <c r="C61" s="3"/>
      <c r="D61" s="14"/>
      <c r="E61" s="14"/>
      <c r="F61" s="14"/>
      <c r="G61" s="13"/>
      <c r="H61" s="14"/>
      <c r="I61" s="6"/>
      <c r="J61" s="3"/>
      <c r="K61" s="21"/>
      <c r="L61" s="3"/>
    </row>
    <row r="62" spans="1:12" x14ac:dyDescent="0.25">
      <c r="A62" s="3" t="str">
        <f t="shared" si="1"/>
        <v/>
      </c>
      <c r="B62" s="6"/>
      <c r="C62" s="3"/>
      <c r="D62" s="14"/>
      <c r="E62" s="14"/>
      <c r="F62" s="14"/>
      <c r="G62" s="13"/>
      <c r="H62" s="14"/>
      <c r="I62" s="6"/>
      <c r="J62" s="3"/>
      <c r="K62" s="21"/>
      <c r="L62" s="3"/>
    </row>
    <row r="63" spans="1:12" x14ac:dyDescent="0.25">
      <c r="A63" s="3" t="str">
        <f t="shared" si="1"/>
        <v/>
      </c>
      <c r="B63" s="6"/>
      <c r="C63" s="3"/>
      <c r="D63" s="14"/>
      <c r="E63" s="14"/>
      <c r="F63" s="14"/>
      <c r="G63" s="13"/>
      <c r="H63" s="14"/>
      <c r="I63" s="6"/>
      <c r="J63" s="3"/>
      <c r="K63" s="21"/>
      <c r="L63" s="3"/>
    </row>
    <row r="64" spans="1:12" s="1" customFormat="1" x14ac:dyDescent="0.25">
      <c r="A64" s="9" t="s">
        <v>70</v>
      </c>
      <c r="B64" s="9" t="s">
        <v>69</v>
      </c>
      <c r="C64" s="9" t="s">
        <v>71</v>
      </c>
      <c r="D64" s="9" t="s">
        <v>63</v>
      </c>
      <c r="E64" s="9" t="s">
        <v>64</v>
      </c>
      <c r="F64" s="9" t="s">
        <v>65</v>
      </c>
      <c r="G64" s="10" t="s">
        <v>78</v>
      </c>
      <c r="H64" s="9" t="s">
        <v>66</v>
      </c>
      <c r="I64" s="9" t="s">
        <v>67</v>
      </c>
      <c r="J64" s="9" t="s">
        <v>72</v>
      </c>
      <c r="K64" s="22" t="s">
        <v>68</v>
      </c>
      <c r="L64" s="9" t="s">
        <v>584</v>
      </c>
    </row>
    <row r="65" spans="1:12" x14ac:dyDescent="0.25">
      <c r="A65" s="3" t="str">
        <f t="shared" si="1"/>
        <v>CPUAULA-D1</v>
      </c>
      <c r="B65" s="6">
        <v>1</v>
      </c>
      <c r="C65" s="3" t="s">
        <v>0</v>
      </c>
      <c r="D65" s="14" t="s">
        <v>1</v>
      </c>
      <c r="E65" s="14" t="s">
        <v>18</v>
      </c>
      <c r="F65" s="14" t="s">
        <v>81</v>
      </c>
      <c r="G65" s="13" t="s">
        <v>81</v>
      </c>
      <c r="H65" s="14" t="s">
        <v>130</v>
      </c>
      <c r="I65" s="6" t="s">
        <v>3</v>
      </c>
      <c r="J65" s="3" t="s">
        <v>131</v>
      </c>
      <c r="K65" s="21">
        <v>250</v>
      </c>
      <c r="L65" s="24">
        <v>45288</v>
      </c>
    </row>
    <row r="66" spans="1:12" x14ac:dyDescent="0.25">
      <c r="A66" s="3" t="str">
        <f t="shared" si="1"/>
        <v>MOUSAULA-D1</v>
      </c>
      <c r="B66" s="6">
        <v>1</v>
      </c>
      <c r="C66" s="3" t="s">
        <v>6</v>
      </c>
      <c r="D66" s="14" t="s">
        <v>109</v>
      </c>
      <c r="E66" s="14" t="s">
        <v>18</v>
      </c>
      <c r="F66" s="14" t="s">
        <v>85</v>
      </c>
      <c r="G66" s="13" t="s">
        <v>83</v>
      </c>
      <c r="H66" s="14" t="s">
        <v>130</v>
      </c>
      <c r="I66" s="6" t="s">
        <v>3</v>
      </c>
      <c r="J66" s="3" t="s">
        <v>541</v>
      </c>
      <c r="K66" s="21">
        <v>5</v>
      </c>
      <c r="L66" s="24">
        <v>45288</v>
      </c>
    </row>
    <row r="67" spans="1:12" x14ac:dyDescent="0.25">
      <c r="A67" s="3" t="str">
        <f t="shared" si="1"/>
        <v>TECLAULA-D1</v>
      </c>
      <c r="B67" s="6">
        <v>1</v>
      </c>
      <c r="C67" s="3" t="s">
        <v>11</v>
      </c>
      <c r="D67" s="14" t="s">
        <v>1</v>
      </c>
      <c r="E67" s="14" t="s">
        <v>14</v>
      </c>
      <c r="F67" s="14" t="s">
        <v>132</v>
      </c>
      <c r="G67" s="13" t="s">
        <v>133</v>
      </c>
      <c r="H67" s="14" t="s">
        <v>130</v>
      </c>
      <c r="I67" s="6" t="s">
        <v>3</v>
      </c>
      <c r="J67" s="3" t="s">
        <v>572</v>
      </c>
      <c r="K67" s="21">
        <v>10</v>
      </c>
      <c r="L67" s="24">
        <v>45288</v>
      </c>
    </row>
    <row r="68" spans="1:12" x14ac:dyDescent="0.25">
      <c r="A68" s="3" t="str">
        <f t="shared" si="1"/>
        <v>PROYAULA-D1</v>
      </c>
      <c r="B68" s="6">
        <v>1</v>
      </c>
      <c r="C68" s="3" t="s">
        <v>45</v>
      </c>
      <c r="D68" s="14" t="s">
        <v>9</v>
      </c>
      <c r="E68" s="14" t="s">
        <v>117</v>
      </c>
      <c r="F68" s="14" t="s">
        <v>118</v>
      </c>
      <c r="G68" s="13" t="s">
        <v>134</v>
      </c>
      <c r="H68" s="14" t="s">
        <v>130</v>
      </c>
      <c r="I68" s="6" t="s">
        <v>3</v>
      </c>
      <c r="J68" s="3" t="s">
        <v>120</v>
      </c>
      <c r="K68" s="21">
        <v>582.72</v>
      </c>
      <c r="L68" s="24">
        <v>45288</v>
      </c>
    </row>
    <row r="69" spans="1:12" x14ac:dyDescent="0.25">
      <c r="A69" s="3" t="str">
        <f t="shared" si="1"/>
        <v>CONTAULA-D1</v>
      </c>
      <c r="B69" s="6">
        <v>1</v>
      </c>
      <c r="C69" s="3" t="s">
        <v>60</v>
      </c>
      <c r="D69" s="14" t="s">
        <v>9</v>
      </c>
      <c r="E69" s="14" t="s">
        <v>117</v>
      </c>
      <c r="F69" s="14" t="s">
        <v>128</v>
      </c>
      <c r="G69" s="13" t="s">
        <v>83</v>
      </c>
      <c r="H69" s="14" t="s">
        <v>130</v>
      </c>
      <c r="I69" s="6" t="s">
        <v>3</v>
      </c>
      <c r="J69" s="3" t="s">
        <v>129</v>
      </c>
      <c r="K69" s="21">
        <v>10</v>
      </c>
      <c r="L69" s="24">
        <v>45288</v>
      </c>
    </row>
    <row r="70" spans="1:12" x14ac:dyDescent="0.25">
      <c r="A70" s="3" t="str">
        <f t="shared" si="1"/>
        <v>PARLAULA-D1</v>
      </c>
      <c r="B70" s="6">
        <v>1</v>
      </c>
      <c r="C70" s="3" t="s">
        <v>491</v>
      </c>
      <c r="D70" s="14" t="s">
        <v>1</v>
      </c>
      <c r="E70" s="14" t="s">
        <v>81</v>
      </c>
      <c r="F70" s="14" t="s">
        <v>85</v>
      </c>
      <c r="G70" s="13" t="s">
        <v>83</v>
      </c>
      <c r="H70" s="14" t="s">
        <v>130</v>
      </c>
      <c r="I70" s="6" t="s">
        <v>3</v>
      </c>
      <c r="J70" s="3" t="s">
        <v>549</v>
      </c>
      <c r="K70" s="21">
        <v>39.200000000000003</v>
      </c>
      <c r="L70" s="24">
        <v>45288</v>
      </c>
    </row>
    <row r="71" spans="1:12" x14ac:dyDescent="0.25">
      <c r="A71" s="3" t="str">
        <f t="shared" si="1"/>
        <v>CAMAAULA-D1</v>
      </c>
      <c r="B71" s="6">
        <v>1</v>
      </c>
      <c r="C71" s="3" t="s">
        <v>92</v>
      </c>
      <c r="D71" s="14" t="s">
        <v>9</v>
      </c>
      <c r="E71" s="14" t="s">
        <v>135</v>
      </c>
      <c r="F71" s="14" t="s">
        <v>85</v>
      </c>
      <c r="G71" s="13" t="s">
        <v>83</v>
      </c>
      <c r="H71" s="14" t="s">
        <v>130</v>
      </c>
      <c r="I71" s="6" t="s">
        <v>3</v>
      </c>
      <c r="J71" s="3" t="s">
        <v>586</v>
      </c>
      <c r="K71" s="21">
        <v>185.45</v>
      </c>
      <c r="L71" s="24">
        <v>45489</v>
      </c>
    </row>
    <row r="72" spans="1:12" x14ac:dyDescent="0.25">
      <c r="A72" s="3" t="str">
        <f t="shared" si="1"/>
        <v>MODEAULA-D1</v>
      </c>
      <c r="B72" s="6">
        <v>1</v>
      </c>
      <c r="C72" s="3" t="s">
        <v>137</v>
      </c>
      <c r="D72" s="14" t="s">
        <v>1</v>
      </c>
      <c r="E72" s="14" t="s">
        <v>138</v>
      </c>
      <c r="F72" s="14" t="s">
        <v>140</v>
      </c>
      <c r="G72" s="13" t="s">
        <v>139</v>
      </c>
      <c r="H72" s="14" t="s">
        <v>130</v>
      </c>
      <c r="I72" s="6" t="s">
        <v>3</v>
      </c>
      <c r="J72" s="3" t="s">
        <v>141</v>
      </c>
      <c r="K72" s="21">
        <v>33.6</v>
      </c>
      <c r="L72" s="24">
        <v>45288</v>
      </c>
    </row>
    <row r="73" spans="1:12" x14ac:dyDescent="0.25">
      <c r="A73" s="3" t="str">
        <f t="shared" si="1"/>
        <v/>
      </c>
      <c r="B73" s="6"/>
      <c r="C73" s="3"/>
      <c r="D73" s="14"/>
      <c r="E73" s="14"/>
      <c r="F73" s="14"/>
      <c r="G73" s="13"/>
      <c r="H73" s="14"/>
      <c r="I73" s="6"/>
      <c r="J73" s="3"/>
      <c r="K73" s="21"/>
      <c r="L73" s="3"/>
    </row>
    <row r="74" spans="1:12" x14ac:dyDescent="0.25">
      <c r="A74" s="3" t="str">
        <f t="shared" si="1"/>
        <v/>
      </c>
      <c r="B74" s="6"/>
      <c r="C74" s="3"/>
      <c r="D74" s="14"/>
      <c r="E74" s="14"/>
      <c r="F74" s="14"/>
      <c r="G74" s="13"/>
      <c r="H74" s="14"/>
      <c r="I74" s="6"/>
      <c r="J74" s="3"/>
      <c r="K74" s="21"/>
      <c r="L74" s="3"/>
    </row>
    <row r="75" spans="1:12" x14ac:dyDescent="0.25">
      <c r="A75" s="3" t="str">
        <f t="shared" si="1"/>
        <v/>
      </c>
      <c r="B75" s="6"/>
      <c r="C75" s="3"/>
      <c r="D75" s="14"/>
      <c r="E75" s="14"/>
      <c r="F75" s="14"/>
      <c r="G75" s="13"/>
      <c r="H75" s="14"/>
      <c r="I75" s="6"/>
      <c r="J75" s="3"/>
      <c r="K75" s="21"/>
      <c r="L75" s="3"/>
    </row>
    <row r="76" spans="1:12" s="1" customFormat="1" x14ac:dyDescent="0.25">
      <c r="A76" s="9" t="s">
        <v>70</v>
      </c>
      <c r="B76" s="9" t="s">
        <v>69</v>
      </c>
      <c r="C76" s="9" t="s">
        <v>71</v>
      </c>
      <c r="D76" s="9" t="s">
        <v>63</v>
      </c>
      <c r="E76" s="9" t="s">
        <v>64</v>
      </c>
      <c r="F76" s="9" t="s">
        <v>65</v>
      </c>
      <c r="G76" s="10" t="s">
        <v>78</v>
      </c>
      <c r="H76" s="9" t="s">
        <v>66</v>
      </c>
      <c r="I76" s="9" t="s">
        <v>67</v>
      </c>
      <c r="J76" s="9" t="s">
        <v>72</v>
      </c>
      <c r="K76" s="22" t="s">
        <v>68</v>
      </c>
      <c r="L76" s="9" t="s">
        <v>584</v>
      </c>
    </row>
    <row r="77" spans="1:12" x14ac:dyDescent="0.25">
      <c r="A77" s="3" t="str">
        <f t="shared" si="1"/>
        <v>CPUAULA-E1</v>
      </c>
      <c r="B77" s="6">
        <v>1</v>
      </c>
      <c r="C77" s="3" t="s">
        <v>0</v>
      </c>
      <c r="D77" s="14" t="s">
        <v>1</v>
      </c>
      <c r="E77" s="14" t="s">
        <v>18</v>
      </c>
      <c r="F77" s="14" t="s">
        <v>81</v>
      </c>
      <c r="G77" s="13" t="s">
        <v>81</v>
      </c>
      <c r="H77" s="14" t="s">
        <v>142</v>
      </c>
      <c r="I77" s="6" t="s">
        <v>3</v>
      </c>
      <c r="J77" s="3" t="s">
        <v>131</v>
      </c>
      <c r="K77" s="21">
        <v>250</v>
      </c>
      <c r="L77" s="24">
        <v>45288</v>
      </c>
    </row>
    <row r="78" spans="1:12" x14ac:dyDescent="0.25">
      <c r="A78" s="3" t="str">
        <f t="shared" si="1"/>
        <v>MOUSAULA-E1</v>
      </c>
      <c r="B78" s="6">
        <v>1</v>
      </c>
      <c r="C78" s="3" t="s">
        <v>6</v>
      </c>
      <c r="D78" s="14" t="s">
        <v>1</v>
      </c>
      <c r="E78" s="14" t="s">
        <v>14</v>
      </c>
      <c r="F78" s="14" t="s">
        <v>143</v>
      </c>
      <c r="G78" s="13" t="s">
        <v>144</v>
      </c>
      <c r="H78" s="14" t="s">
        <v>142</v>
      </c>
      <c r="I78" s="6" t="s">
        <v>3</v>
      </c>
      <c r="J78" s="3" t="s">
        <v>540</v>
      </c>
      <c r="K78" s="21">
        <v>6</v>
      </c>
      <c r="L78" s="24">
        <v>45288</v>
      </c>
    </row>
    <row r="79" spans="1:12" x14ac:dyDescent="0.25">
      <c r="A79" s="3" t="str">
        <f t="shared" si="1"/>
        <v>TECLAULA-E1</v>
      </c>
      <c r="B79" s="6">
        <v>1</v>
      </c>
      <c r="C79" s="3" t="s">
        <v>11</v>
      </c>
      <c r="D79" s="14" t="s">
        <v>1</v>
      </c>
      <c r="E79" s="14" t="s">
        <v>13</v>
      </c>
      <c r="F79" s="14" t="s">
        <v>116</v>
      </c>
      <c r="G79" s="13" t="s">
        <v>145</v>
      </c>
      <c r="H79" s="14" t="s">
        <v>142</v>
      </c>
      <c r="I79" s="6" t="s">
        <v>3</v>
      </c>
      <c r="J79" s="3" t="s">
        <v>571</v>
      </c>
      <c r="K79" s="21">
        <v>17</v>
      </c>
      <c r="L79" s="24">
        <v>45288</v>
      </c>
    </row>
    <row r="80" spans="1:12" x14ac:dyDescent="0.25">
      <c r="A80" s="3" t="str">
        <f t="shared" si="1"/>
        <v>PROYAULA-E1</v>
      </c>
      <c r="B80" s="6">
        <v>1</v>
      </c>
      <c r="C80" s="3" t="s">
        <v>45</v>
      </c>
      <c r="D80" s="14" t="s">
        <v>9</v>
      </c>
      <c r="E80" s="14" t="s">
        <v>117</v>
      </c>
      <c r="F80" s="14" t="s">
        <v>118</v>
      </c>
      <c r="G80" s="13" t="s">
        <v>146</v>
      </c>
      <c r="H80" s="14" t="s">
        <v>142</v>
      </c>
      <c r="I80" s="6" t="s">
        <v>3</v>
      </c>
      <c r="J80" s="3" t="s">
        <v>120</v>
      </c>
      <c r="K80" s="21">
        <v>582.72</v>
      </c>
      <c r="L80" s="24">
        <v>45288</v>
      </c>
    </row>
    <row r="81" spans="1:12" x14ac:dyDescent="0.25">
      <c r="A81" s="3" t="str">
        <f t="shared" si="1"/>
        <v>CONTAULA-E1</v>
      </c>
      <c r="B81" s="6">
        <v>1</v>
      </c>
      <c r="C81" s="3" t="s">
        <v>60</v>
      </c>
      <c r="D81" s="14" t="s">
        <v>9</v>
      </c>
      <c r="E81" s="14" t="s">
        <v>117</v>
      </c>
      <c r="F81" s="14" t="s">
        <v>128</v>
      </c>
      <c r="G81" s="13" t="s">
        <v>83</v>
      </c>
      <c r="H81" s="14" t="s">
        <v>142</v>
      </c>
      <c r="I81" s="6" t="s">
        <v>3</v>
      </c>
      <c r="J81" s="3" t="s">
        <v>129</v>
      </c>
      <c r="K81" s="21">
        <v>10</v>
      </c>
      <c r="L81" s="24">
        <v>45288</v>
      </c>
    </row>
    <row r="82" spans="1:12" x14ac:dyDescent="0.25">
      <c r="A82" s="3" t="str">
        <f t="shared" si="1"/>
        <v>PARLAULA-E1</v>
      </c>
      <c r="B82" s="6">
        <v>1</v>
      </c>
      <c r="C82" s="3" t="s">
        <v>491</v>
      </c>
      <c r="D82" s="14" t="s">
        <v>1</v>
      </c>
      <c r="E82" s="14" t="s">
        <v>81</v>
      </c>
      <c r="F82" s="14" t="s">
        <v>85</v>
      </c>
      <c r="G82" s="13" t="s">
        <v>83</v>
      </c>
      <c r="H82" s="14" t="s">
        <v>142</v>
      </c>
      <c r="I82" s="6" t="s">
        <v>3</v>
      </c>
      <c r="J82" s="3" t="s">
        <v>549</v>
      </c>
      <c r="K82" s="21">
        <v>39.200000000000003</v>
      </c>
      <c r="L82" s="24">
        <v>45288</v>
      </c>
    </row>
    <row r="83" spans="1:12" x14ac:dyDescent="0.25">
      <c r="A83" s="3" t="str">
        <f t="shared" si="1"/>
        <v>CAMAAULA-E1</v>
      </c>
      <c r="B83" s="6">
        <v>1</v>
      </c>
      <c r="C83" s="3" t="s">
        <v>92</v>
      </c>
      <c r="D83" s="14" t="s">
        <v>9</v>
      </c>
      <c r="E83" s="14" t="s">
        <v>135</v>
      </c>
      <c r="F83" s="14" t="s">
        <v>85</v>
      </c>
      <c r="G83" s="13" t="s">
        <v>83</v>
      </c>
      <c r="H83" s="14" t="s">
        <v>142</v>
      </c>
      <c r="I83" s="6" t="s">
        <v>3</v>
      </c>
      <c r="J83" s="3" t="s">
        <v>586</v>
      </c>
      <c r="K83" s="21">
        <v>185.45</v>
      </c>
      <c r="L83" s="24">
        <v>45489</v>
      </c>
    </row>
    <row r="84" spans="1:12" x14ac:dyDescent="0.25">
      <c r="A84" s="3" t="str">
        <f t="shared" si="1"/>
        <v/>
      </c>
      <c r="B84" s="6"/>
      <c r="C84" s="3"/>
      <c r="D84" s="14"/>
      <c r="E84" s="14"/>
      <c r="F84" s="14"/>
      <c r="G84" s="13"/>
      <c r="H84" s="14"/>
      <c r="I84" s="6"/>
      <c r="J84" s="3"/>
      <c r="K84" s="21"/>
      <c r="L84" s="3"/>
    </row>
    <row r="85" spans="1:12" x14ac:dyDescent="0.25">
      <c r="A85" s="3" t="str">
        <f t="shared" si="1"/>
        <v/>
      </c>
      <c r="B85" s="6"/>
      <c r="C85" s="3"/>
      <c r="D85" s="14"/>
      <c r="E85" s="14"/>
      <c r="F85" s="14"/>
      <c r="G85" s="13"/>
      <c r="H85" s="14"/>
      <c r="I85" s="6"/>
      <c r="J85" s="3"/>
      <c r="K85" s="21"/>
      <c r="L85" s="3"/>
    </row>
    <row r="86" spans="1:12" x14ac:dyDescent="0.25">
      <c r="A86" s="3" t="str">
        <f t="shared" si="1"/>
        <v/>
      </c>
      <c r="B86" s="6"/>
      <c r="C86" s="3"/>
      <c r="D86" s="14"/>
      <c r="E86" s="14"/>
      <c r="F86" s="14"/>
      <c r="G86" s="13"/>
      <c r="H86" s="14"/>
      <c r="I86" s="6"/>
      <c r="J86" s="3"/>
      <c r="K86" s="21"/>
      <c r="L86" s="3"/>
    </row>
    <row r="87" spans="1:12" s="1" customFormat="1" x14ac:dyDescent="0.25">
      <c r="A87" s="9" t="s">
        <v>70</v>
      </c>
      <c r="B87" s="9" t="s">
        <v>69</v>
      </c>
      <c r="C87" s="9" t="s">
        <v>71</v>
      </c>
      <c r="D87" s="9" t="s">
        <v>63</v>
      </c>
      <c r="E87" s="9" t="s">
        <v>64</v>
      </c>
      <c r="F87" s="9" t="s">
        <v>65</v>
      </c>
      <c r="G87" s="10" t="s">
        <v>78</v>
      </c>
      <c r="H87" s="9" t="s">
        <v>66</v>
      </c>
      <c r="I87" s="9" t="s">
        <v>67</v>
      </c>
      <c r="J87" s="9" t="s">
        <v>72</v>
      </c>
      <c r="K87" s="22" t="s">
        <v>68</v>
      </c>
      <c r="L87" s="9" t="s">
        <v>584</v>
      </c>
    </row>
    <row r="88" spans="1:12" x14ac:dyDescent="0.25">
      <c r="A88" s="3" t="str">
        <f t="shared" si="1"/>
        <v>CPUAULA-E3</v>
      </c>
      <c r="B88" s="6">
        <v>1</v>
      </c>
      <c r="C88" s="3" t="s">
        <v>0</v>
      </c>
      <c r="D88" s="14" t="s">
        <v>1</v>
      </c>
      <c r="E88" s="14" t="s">
        <v>18</v>
      </c>
      <c r="F88" s="14" t="s">
        <v>81</v>
      </c>
      <c r="G88" s="13">
        <v>10020122019</v>
      </c>
      <c r="H88" s="14" t="s">
        <v>160</v>
      </c>
      <c r="I88" s="6" t="s">
        <v>3</v>
      </c>
      <c r="J88" s="3" t="s">
        <v>131</v>
      </c>
      <c r="K88" s="21">
        <v>250</v>
      </c>
      <c r="L88" s="24">
        <v>45288</v>
      </c>
    </row>
    <row r="89" spans="1:12" x14ac:dyDescent="0.25">
      <c r="A89" s="3" t="str">
        <f t="shared" si="1"/>
        <v>MOUSAULA-E3</v>
      </c>
      <c r="B89" s="6">
        <v>1</v>
      </c>
      <c r="C89" s="3" t="s">
        <v>6</v>
      </c>
      <c r="D89" s="14" t="s">
        <v>161</v>
      </c>
      <c r="E89" s="14" t="s">
        <v>7</v>
      </c>
      <c r="F89" s="14" t="s">
        <v>162</v>
      </c>
      <c r="G89" s="13" t="s">
        <v>163</v>
      </c>
      <c r="H89" s="14" t="s">
        <v>160</v>
      </c>
      <c r="I89" s="6" t="s">
        <v>3</v>
      </c>
      <c r="J89" s="3" t="s">
        <v>542</v>
      </c>
      <c r="K89" s="21">
        <v>6</v>
      </c>
      <c r="L89" s="24">
        <v>45288</v>
      </c>
    </row>
    <row r="90" spans="1:12" x14ac:dyDescent="0.25">
      <c r="A90" s="3" t="str">
        <f t="shared" si="1"/>
        <v>TECLAULA-E3</v>
      </c>
      <c r="B90" s="6">
        <v>1</v>
      </c>
      <c r="C90" s="3" t="s">
        <v>11</v>
      </c>
      <c r="D90" s="14" t="s">
        <v>1</v>
      </c>
      <c r="E90" s="14" t="s">
        <v>18</v>
      </c>
      <c r="F90" s="14" t="s">
        <v>81</v>
      </c>
      <c r="G90" s="13" t="s">
        <v>164</v>
      </c>
      <c r="H90" s="14" t="s">
        <v>160</v>
      </c>
      <c r="I90" s="6" t="s">
        <v>3</v>
      </c>
      <c r="J90" s="3" t="s">
        <v>570</v>
      </c>
      <c r="K90" s="21">
        <v>16.7</v>
      </c>
      <c r="L90" s="24">
        <v>45288</v>
      </c>
    </row>
    <row r="91" spans="1:12" x14ac:dyDescent="0.25">
      <c r="A91" s="3" t="str">
        <f t="shared" si="1"/>
        <v>PROYAULA-E3</v>
      </c>
      <c r="B91" s="6">
        <v>1</v>
      </c>
      <c r="C91" s="3" t="s">
        <v>45</v>
      </c>
      <c r="D91" s="14" t="s">
        <v>9</v>
      </c>
      <c r="E91" s="14" t="s">
        <v>117</v>
      </c>
      <c r="F91" s="14" t="s">
        <v>118</v>
      </c>
      <c r="G91" s="13" t="s">
        <v>165</v>
      </c>
      <c r="H91" s="14" t="s">
        <v>160</v>
      </c>
      <c r="I91" s="6" t="s">
        <v>3</v>
      </c>
      <c r="J91" s="3" t="s">
        <v>120</v>
      </c>
      <c r="K91" s="21">
        <v>582.72</v>
      </c>
      <c r="L91" s="24">
        <v>45288</v>
      </c>
    </row>
    <row r="92" spans="1:12" x14ac:dyDescent="0.25">
      <c r="A92" s="3" t="str">
        <f t="shared" si="1"/>
        <v>CONTAULA-E3</v>
      </c>
      <c r="B92" s="6">
        <v>1</v>
      </c>
      <c r="C92" s="3" t="s">
        <v>60</v>
      </c>
      <c r="D92" s="14" t="s">
        <v>9</v>
      </c>
      <c r="E92" s="14" t="s">
        <v>117</v>
      </c>
      <c r="F92" s="14" t="s">
        <v>128</v>
      </c>
      <c r="G92" s="13" t="s">
        <v>83</v>
      </c>
      <c r="H92" s="14" t="s">
        <v>160</v>
      </c>
      <c r="I92" s="6" t="s">
        <v>3</v>
      </c>
      <c r="J92" s="3" t="s">
        <v>129</v>
      </c>
      <c r="K92" s="21">
        <v>10</v>
      </c>
      <c r="L92" s="24">
        <v>45288</v>
      </c>
    </row>
    <row r="93" spans="1:12" x14ac:dyDescent="0.25">
      <c r="A93" s="3" t="str">
        <f t="shared" si="1"/>
        <v>PARLAULA-E3</v>
      </c>
      <c r="B93" s="6">
        <v>1</v>
      </c>
      <c r="C93" s="3" t="s">
        <v>491</v>
      </c>
      <c r="D93" s="14" t="s">
        <v>1</v>
      </c>
      <c r="E93" s="14" t="s">
        <v>81</v>
      </c>
      <c r="F93" s="14" t="s">
        <v>85</v>
      </c>
      <c r="G93" s="13" t="s">
        <v>83</v>
      </c>
      <c r="H93" s="14" t="s">
        <v>160</v>
      </c>
      <c r="I93" s="6" t="s">
        <v>3</v>
      </c>
      <c r="J93" s="3" t="s">
        <v>549</v>
      </c>
      <c r="K93" s="21">
        <v>39.200000000000003</v>
      </c>
      <c r="L93" s="24">
        <v>45288</v>
      </c>
    </row>
    <row r="94" spans="1:12" x14ac:dyDescent="0.25">
      <c r="A94" s="3" t="str">
        <f t="shared" si="1"/>
        <v>CAMAAULA-E3</v>
      </c>
      <c r="B94" s="6">
        <v>1</v>
      </c>
      <c r="C94" s="3" t="s">
        <v>92</v>
      </c>
      <c r="D94" s="14" t="s">
        <v>9</v>
      </c>
      <c r="E94" s="14" t="s">
        <v>53</v>
      </c>
      <c r="F94" s="14" t="s">
        <v>85</v>
      </c>
      <c r="G94" s="13" t="s">
        <v>83</v>
      </c>
      <c r="H94" s="14" t="s">
        <v>160</v>
      </c>
      <c r="I94" s="6" t="s">
        <v>3</v>
      </c>
      <c r="J94" s="3" t="s">
        <v>93</v>
      </c>
      <c r="K94" s="21">
        <v>25</v>
      </c>
      <c r="L94" s="24">
        <v>45288</v>
      </c>
    </row>
    <row r="95" spans="1:12" x14ac:dyDescent="0.25">
      <c r="A95" s="3" t="str">
        <f t="shared" si="1"/>
        <v/>
      </c>
      <c r="B95" s="6"/>
      <c r="C95" s="3"/>
      <c r="D95" s="14"/>
      <c r="E95" s="14"/>
      <c r="F95" s="14"/>
      <c r="G95" s="13"/>
      <c r="H95" s="14"/>
      <c r="I95" s="6"/>
      <c r="J95" s="3"/>
      <c r="K95" s="21"/>
      <c r="L95" s="3"/>
    </row>
    <row r="96" spans="1:12" x14ac:dyDescent="0.25">
      <c r="A96" s="3" t="str">
        <f t="shared" si="1"/>
        <v/>
      </c>
      <c r="B96" s="6"/>
      <c r="C96" s="3"/>
      <c r="D96" s="14"/>
      <c r="E96" s="14"/>
      <c r="F96" s="14"/>
      <c r="G96" s="13"/>
      <c r="H96" s="14"/>
      <c r="I96" s="6"/>
      <c r="J96" s="3"/>
      <c r="K96" s="21"/>
      <c r="L96" s="3"/>
    </row>
    <row r="97" spans="1:12" x14ac:dyDescent="0.25">
      <c r="A97" s="3" t="str">
        <f t="shared" si="1"/>
        <v/>
      </c>
      <c r="B97" s="6"/>
      <c r="C97" s="3"/>
      <c r="D97" s="14"/>
      <c r="E97" s="14"/>
      <c r="F97" s="14"/>
      <c r="G97" s="13"/>
      <c r="H97" s="14"/>
      <c r="I97" s="6"/>
      <c r="J97" s="3"/>
      <c r="K97" s="21"/>
      <c r="L97" s="3"/>
    </row>
    <row r="98" spans="1:12" s="1" customFormat="1" x14ac:dyDescent="0.25">
      <c r="A98" s="9" t="s">
        <v>70</v>
      </c>
      <c r="B98" s="9" t="s">
        <v>69</v>
      </c>
      <c r="C98" s="9" t="s">
        <v>71</v>
      </c>
      <c r="D98" s="9" t="s">
        <v>63</v>
      </c>
      <c r="E98" s="9" t="s">
        <v>64</v>
      </c>
      <c r="F98" s="9" t="s">
        <v>65</v>
      </c>
      <c r="G98" s="10" t="s">
        <v>78</v>
      </c>
      <c r="H98" s="9" t="s">
        <v>66</v>
      </c>
      <c r="I98" s="9" t="s">
        <v>67</v>
      </c>
      <c r="J98" s="9" t="s">
        <v>72</v>
      </c>
      <c r="K98" s="22" t="s">
        <v>68</v>
      </c>
      <c r="L98" s="9" t="s">
        <v>584</v>
      </c>
    </row>
    <row r="99" spans="1:12" x14ac:dyDescent="0.25">
      <c r="A99" s="3" t="str">
        <f t="shared" si="1"/>
        <v>CAMASALON DE</v>
      </c>
      <c r="B99" s="6">
        <v>1</v>
      </c>
      <c r="C99" s="3" t="s">
        <v>92</v>
      </c>
      <c r="D99" s="14" t="s">
        <v>9</v>
      </c>
      <c r="E99" s="14" t="s">
        <v>167</v>
      </c>
      <c r="F99" s="14" t="s">
        <v>81</v>
      </c>
      <c r="G99" s="13" t="s">
        <v>167</v>
      </c>
      <c r="H99" s="14" t="s">
        <v>166</v>
      </c>
      <c r="I99" s="6" t="s">
        <v>3</v>
      </c>
      <c r="J99" s="3" t="s">
        <v>136</v>
      </c>
      <c r="K99" s="21">
        <v>25</v>
      </c>
      <c r="L99" s="24">
        <v>44841</v>
      </c>
    </row>
    <row r="100" spans="1:12" x14ac:dyDescent="0.25">
      <c r="A100" s="3" t="str">
        <f t="shared" si="1"/>
        <v>MODESALON DE</v>
      </c>
      <c r="B100" s="6">
        <v>1</v>
      </c>
      <c r="C100" s="3" t="s">
        <v>137</v>
      </c>
      <c r="D100" s="14" t="s">
        <v>9</v>
      </c>
      <c r="E100" s="14" t="s">
        <v>138</v>
      </c>
      <c r="F100" s="14" t="s">
        <v>169</v>
      </c>
      <c r="G100" s="13" t="s">
        <v>170</v>
      </c>
      <c r="H100" s="14" t="s">
        <v>166</v>
      </c>
      <c r="I100" s="6" t="s">
        <v>3</v>
      </c>
      <c r="J100" s="3" t="s">
        <v>168</v>
      </c>
      <c r="K100" s="21">
        <v>80</v>
      </c>
      <c r="L100" s="24">
        <v>44636</v>
      </c>
    </row>
    <row r="101" spans="1:12" x14ac:dyDescent="0.25">
      <c r="A101" s="3" t="str">
        <f t="shared" si="1"/>
        <v/>
      </c>
      <c r="B101" s="6"/>
      <c r="C101" s="3"/>
      <c r="D101" s="14"/>
      <c r="E101" s="14"/>
      <c r="F101" s="14"/>
      <c r="G101" s="13"/>
      <c r="H101" s="14"/>
      <c r="I101" s="6"/>
      <c r="J101" s="3"/>
      <c r="K101" s="21"/>
      <c r="L101" s="3"/>
    </row>
    <row r="102" spans="1:12" x14ac:dyDescent="0.25">
      <c r="A102" s="3" t="str">
        <f t="shared" si="1"/>
        <v/>
      </c>
      <c r="B102" s="6"/>
      <c r="C102" s="3"/>
      <c r="D102" s="14"/>
      <c r="E102" s="14"/>
      <c r="F102" s="14"/>
      <c r="G102" s="13"/>
      <c r="H102" s="14"/>
      <c r="I102" s="6"/>
      <c r="J102" s="3"/>
      <c r="K102" s="21"/>
      <c r="L102" s="3"/>
    </row>
    <row r="103" spans="1:12" x14ac:dyDescent="0.25">
      <c r="A103" s="3" t="str">
        <f t="shared" si="1"/>
        <v/>
      </c>
      <c r="B103" s="6"/>
      <c r="C103" s="3"/>
      <c r="D103" s="14"/>
      <c r="E103" s="14"/>
      <c r="F103" s="14"/>
      <c r="G103" s="13"/>
      <c r="H103" s="14"/>
      <c r="I103" s="6"/>
      <c r="J103" s="3"/>
      <c r="K103" s="21"/>
      <c r="L103" s="3"/>
    </row>
    <row r="104" spans="1:12" s="1" customFormat="1" x14ac:dyDescent="0.25">
      <c r="A104" s="9" t="s">
        <v>70</v>
      </c>
      <c r="B104" s="9" t="s">
        <v>69</v>
      </c>
      <c r="C104" s="9" t="s">
        <v>71</v>
      </c>
      <c r="D104" s="9" t="s">
        <v>63</v>
      </c>
      <c r="E104" s="9" t="s">
        <v>64</v>
      </c>
      <c r="F104" s="9" t="s">
        <v>65</v>
      </c>
      <c r="G104" s="10" t="s">
        <v>78</v>
      </c>
      <c r="H104" s="9" t="s">
        <v>66</v>
      </c>
      <c r="I104" s="9" t="s">
        <v>67</v>
      </c>
      <c r="J104" s="9" t="s">
        <v>72</v>
      </c>
      <c r="K104" s="22" t="s">
        <v>68</v>
      </c>
      <c r="L104" s="9" t="s">
        <v>584</v>
      </c>
    </row>
    <row r="105" spans="1:12" x14ac:dyDescent="0.25">
      <c r="A105" s="3" t="str">
        <f t="shared" si="1"/>
        <v>MINIPSICOSEN</v>
      </c>
      <c r="B105" s="6">
        <v>1</v>
      </c>
      <c r="C105" s="3" t="s">
        <v>179</v>
      </c>
      <c r="D105" s="14" t="s">
        <v>1</v>
      </c>
      <c r="E105" s="14" t="s">
        <v>171</v>
      </c>
      <c r="F105" s="14" t="s">
        <v>173</v>
      </c>
      <c r="G105" s="13" t="s">
        <v>172</v>
      </c>
      <c r="H105" s="14" t="s">
        <v>73</v>
      </c>
      <c r="I105" s="6" t="s">
        <v>3</v>
      </c>
      <c r="J105" s="3" t="s">
        <v>174</v>
      </c>
      <c r="K105" s="23">
        <v>7840</v>
      </c>
      <c r="L105" s="24">
        <v>45342</v>
      </c>
    </row>
    <row r="106" spans="1:12" x14ac:dyDescent="0.25">
      <c r="A106" s="3" t="str">
        <f t="shared" si="1"/>
        <v>MONIPSICOSEN</v>
      </c>
      <c r="B106" s="6">
        <v>1</v>
      </c>
      <c r="C106" s="3" t="s">
        <v>4</v>
      </c>
      <c r="D106" s="14" t="s">
        <v>1</v>
      </c>
      <c r="E106" s="14" t="s">
        <v>17</v>
      </c>
      <c r="F106" s="14" t="s">
        <v>97</v>
      </c>
      <c r="G106" s="13" t="s">
        <v>42</v>
      </c>
      <c r="H106" s="14" t="s">
        <v>73</v>
      </c>
      <c r="I106" s="6" t="s">
        <v>3</v>
      </c>
      <c r="J106" s="3" t="s">
        <v>175</v>
      </c>
      <c r="K106" s="23">
        <v>0</v>
      </c>
      <c r="L106" s="24">
        <v>45342</v>
      </c>
    </row>
    <row r="107" spans="1:12" x14ac:dyDescent="0.25">
      <c r="A107" s="3" t="str">
        <f t="shared" si="1"/>
        <v>MONIPSICOSEN</v>
      </c>
      <c r="B107" s="6">
        <v>1</v>
      </c>
      <c r="C107" s="3" t="s">
        <v>4</v>
      </c>
      <c r="D107" s="14" t="s">
        <v>1</v>
      </c>
      <c r="E107" s="14" t="s">
        <v>17</v>
      </c>
      <c r="F107" s="14" t="s">
        <v>97</v>
      </c>
      <c r="G107" s="13" t="s">
        <v>177</v>
      </c>
      <c r="H107" s="14" t="s">
        <v>73</v>
      </c>
      <c r="I107" s="6" t="s">
        <v>3</v>
      </c>
      <c r="J107" s="3" t="s">
        <v>176</v>
      </c>
      <c r="K107" s="23">
        <v>0</v>
      </c>
      <c r="L107" s="24">
        <v>45342</v>
      </c>
    </row>
    <row r="108" spans="1:12" x14ac:dyDescent="0.25">
      <c r="A108" s="3" t="str">
        <f t="shared" ref="A108:A122" si="3">CONCATENATE(LEFT(C108,4),LEFT(H108,8))</f>
        <v>MOUSPSICOSEN</v>
      </c>
      <c r="B108" s="6">
        <v>1</v>
      </c>
      <c r="C108" s="3" t="s">
        <v>6</v>
      </c>
      <c r="D108" s="14" t="s">
        <v>1</v>
      </c>
      <c r="E108" s="14" t="s">
        <v>40</v>
      </c>
      <c r="F108" s="14" t="s">
        <v>178</v>
      </c>
      <c r="G108" s="13" t="s">
        <v>180</v>
      </c>
      <c r="H108" s="14" t="s">
        <v>73</v>
      </c>
      <c r="I108" s="6" t="s">
        <v>3</v>
      </c>
      <c r="J108" s="3" t="s">
        <v>544</v>
      </c>
      <c r="K108" s="23">
        <v>0</v>
      </c>
      <c r="L108" s="24">
        <v>45342</v>
      </c>
    </row>
    <row r="109" spans="1:12" x14ac:dyDescent="0.25">
      <c r="A109" s="3" t="str">
        <f t="shared" si="3"/>
        <v>HUB PSICOSEN</v>
      </c>
      <c r="B109" s="6">
        <v>1</v>
      </c>
      <c r="C109" s="3" t="s">
        <v>41</v>
      </c>
      <c r="D109" s="14" t="s">
        <v>9</v>
      </c>
      <c r="E109" s="14" t="s">
        <v>18</v>
      </c>
      <c r="F109" s="14" t="s">
        <v>180</v>
      </c>
      <c r="G109" s="13" t="s">
        <v>180</v>
      </c>
      <c r="H109" s="14" t="s">
        <v>73</v>
      </c>
      <c r="I109" s="6" t="s">
        <v>3</v>
      </c>
      <c r="J109" s="3" t="s">
        <v>181</v>
      </c>
      <c r="K109" s="23">
        <v>0</v>
      </c>
      <c r="L109" s="24">
        <v>45342</v>
      </c>
    </row>
    <row r="110" spans="1:12" x14ac:dyDescent="0.25">
      <c r="A110" s="3" t="str">
        <f t="shared" si="3"/>
        <v>REGUPSICOSEN</v>
      </c>
      <c r="B110" s="6">
        <v>1</v>
      </c>
      <c r="C110" s="3" t="s">
        <v>8</v>
      </c>
      <c r="D110" s="14" t="s">
        <v>1</v>
      </c>
      <c r="E110" s="14" t="s">
        <v>182</v>
      </c>
      <c r="F110" s="14" t="s">
        <v>183</v>
      </c>
      <c r="G110" s="13" t="s">
        <v>184</v>
      </c>
      <c r="H110" s="14" t="s">
        <v>73</v>
      </c>
      <c r="I110" s="6" t="s">
        <v>3</v>
      </c>
      <c r="J110" s="3" t="s">
        <v>556</v>
      </c>
      <c r="K110" s="23">
        <v>0</v>
      </c>
      <c r="L110" s="24">
        <v>45342</v>
      </c>
    </row>
    <row r="111" spans="1:12" x14ac:dyDescent="0.25">
      <c r="A111" s="3" t="str">
        <f t="shared" si="3"/>
        <v>TECLPSICOSEN</v>
      </c>
      <c r="B111" s="6">
        <v>1</v>
      </c>
      <c r="C111" s="3" t="s">
        <v>11</v>
      </c>
      <c r="D111" s="14" t="s">
        <v>1</v>
      </c>
      <c r="E111" s="14" t="s">
        <v>40</v>
      </c>
      <c r="F111" s="14" t="s">
        <v>178</v>
      </c>
      <c r="G111" s="13" t="s">
        <v>81</v>
      </c>
      <c r="H111" s="14" t="s">
        <v>73</v>
      </c>
      <c r="I111" s="6" t="s">
        <v>3</v>
      </c>
      <c r="J111" s="3" t="s">
        <v>185</v>
      </c>
      <c r="K111" s="23">
        <v>0</v>
      </c>
      <c r="L111" s="24">
        <v>45342</v>
      </c>
    </row>
    <row r="112" spans="1:12" x14ac:dyDescent="0.25">
      <c r="A112" s="3" t="str">
        <f t="shared" si="3"/>
        <v>VISIPSICOSEN</v>
      </c>
      <c r="B112" s="6">
        <v>1</v>
      </c>
      <c r="C112" s="3" t="s">
        <v>198</v>
      </c>
      <c r="D112" s="14" t="s">
        <v>43</v>
      </c>
      <c r="E112" s="14" t="s">
        <v>44</v>
      </c>
      <c r="F112" s="14" t="s">
        <v>186</v>
      </c>
      <c r="G112" s="13" t="s">
        <v>187</v>
      </c>
      <c r="H112" s="14" t="s">
        <v>73</v>
      </c>
      <c r="I112" s="6" t="s">
        <v>3</v>
      </c>
      <c r="J112" s="3" t="s">
        <v>188</v>
      </c>
      <c r="K112" s="23">
        <v>0</v>
      </c>
      <c r="L112" s="24">
        <v>45342</v>
      </c>
    </row>
    <row r="113" spans="1:12" ht="14.25" customHeight="1" x14ac:dyDescent="0.25">
      <c r="A113" s="3" t="str">
        <f t="shared" si="3"/>
        <v>CONSPSICOSEN</v>
      </c>
      <c r="B113" s="6">
        <v>1</v>
      </c>
      <c r="C113" s="3" t="s">
        <v>58</v>
      </c>
      <c r="D113" s="14" t="s">
        <v>22</v>
      </c>
      <c r="E113" s="14" t="s">
        <v>44</v>
      </c>
      <c r="F113" s="14" t="s">
        <v>85</v>
      </c>
      <c r="G113" s="13" t="s">
        <v>189</v>
      </c>
      <c r="H113" s="14" t="s">
        <v>73</v>
      </c>
      <c r="I113" s="6" t="s">
        <v>3</v>
      </c>
      <c r="J113" s="3" t="s">
        <v>193</v>
      </c>
      <c r="K113" s="23">
        <v>0</v>
      </c>
      <c r="L113" s="24">
        <v>45342</v>
      </c>
    </row>
    <row r="114" spans="1:12" ht="14.25" customHeight="1" x14ac:dyDescent="0.25">
      <c r="A114" s="3" t="str">
        <f t="shared" si="3"/>
        <v>PEDAPSICOSEN</v>
      </c>
      <c r="B114" s="6">
        <v>1</v>
      </c>
      <c r="C114" s="3" t="s">
        <v>61</v>
      </c>
      <c r="D114" s="14" t="s">
        <v>190</v>
      </c>
      <c r="E114" s="14" t="s">
        <v>44</v>
      </c>
      <c r="F114" s="14" t="s">
        <v>85</v>
      </c>
      <c r="G114" s="13" t="s">
        <v>191</v>
      </c>
      <c r="H114" s="14" t="s">
        <v>73</v>
      </c>
      <c r="I114" s="6" t="s">
        <v>3</v>
      </c>
      <c r="J114" s="3" t="s">
        <v>192</v>
      </c>
      <c r="K114" s="23">
        <v>0</v>
      </c>
      <c r="L114" s="24">
        <v>45342</v>
      </c>
    </row>
    <row r="115" spans="1:12" ht="14.25" customHeight="1" x14ac:dyDescent="0.25">
      <c r="A115" s="3" t="str">
        <f t="shared" si="3"/>
        <v>AUDIPSICOSEN</v>
      </c>
      <c r="B115" s="6">
        <v>1</v>
      </c>
      <c r="C115" s="3" t="s">
        <v>194</v>
      </c>
      <c r="D115" s="14" t="s">
        <v>1</v>
      </c>
      <c r="E115" s="14" t="s">
        <v>44</v>
      </c>
      <c r="F115" s="14" t="s">
        <v>195</v>
      </c>
      <c r="G115" s="13" t="s">
        <v>196</v>
      </c>
      <c r="H115" s="14" t="s">
        <v>73</v>
      </c>
      <c r="I115" s="6" t="s">
        <v>3</v>
      </c>
      <c r="J115" s="3" t="s">
        <v>197</v>
      </c>
      <c r="K115" s="23">
        <v>0</v>
      </c>
      <c r="L115" s="24">
        <v>45342</v>
      </c>
    </row>
    <row r="116" spans="1:12" ht="14.25" customHeight="1" x14ac:dyDescent="0.25">
      <c r="A116" s="3" t="str">
        <f t="shared" si="3"/>
        <v>IMPRPSICOSEN</v>
      </c>
      <c r="B116" s="6">
        <v>1</v>
      </c>
      <c r="C116" s="3" t="s">
        <v>153</v>
      </c>
      <c r="D116" s="14" t="s">
        <v>1</v>
      </c>
      <c r="E116" s="14" t="s">
        <v>46</v>
      </c>
      <c r="F116" s="14" t="s">
        <v>199</v>
      </c>
      <c r="G116" s="13" t="s">
        <v>200</v>
      </c>
      <c r="H116" s="14" t="s">
        <v>73</v>
      </c>
      <c r="I116" s="6" t="s">
        <v>3</v>
      </c>
      <c r="J116" s="3" t="s">
        <v>201</v>
      </c>
      <c r="K116" s="23">
        <v>0</v>
      </c>
      <c r="L116" s="24">
        <v>45342</v>
      </c>
    </row>
    <row r="117" spans="1:12" ht="14.25" customHeight="1" x14ac:dyDescent="0.25">
      <c r="A117" s="3" t="str">
        <f t="shared" si="3"/>
        <v>CAMAPSICOSEN</v>
      </c>
      <c r="B117" s="6">
        <v>1</v>
      </c>
      <c r="C117" s="3" t="s">
        <v>202</v>
      </c>
      <c r="D117" s="14" t="s">
        <v>203</v>
      </c>
      <c r="E117" s="14" t="s">
        <v>204</v>
      </c>
      <c r="F117" s="14" t="s">
        <v>205</v>
      </c>
      <c r="G117" s="13" t="s">
        <v>83</v>
      </c>
      <c r="H117" s="14" t="s">
        <v>73</v>
      </c>
      <c r="I117" s="6" t="s">
        <v>3</v>
      </c>
      <c r="J117" s="3" t="s">
        <v>206</v>
      </c>
      <c r="K117" s="23">
        <v>0</v>
      </c>
      <c r="L117" s="24">
        <v>45342</v>
      </c>
    </row>
    <row r="118" spans="1:12" ht="14.25" customHeight="1" x14ac:dyDescent="0.25">
      <c r="A118" s="3" t="str">
        <f t="shared" si="3"/>
        <v>PARLPSICOSEN</v>
      </c>
      <c r="B118" s="6">
        <v>1</v>
      </c>
      <c r="C118" s="3" t="s">
        <v>491</v>
      </c>
      <c r="D118" s="14" t="s">
        <v>1</v>
      </c>
      <c r="E118" s="14" t="s">
        <v>88</v>
      </c>
      <c r="F118" s="14" t="s">
        <v>89</v>
      </c>
      <c r="G118" s="13" t="s">
        <v>90</v>
      </c>
      <c r="H118" s="14" t="s">
        <v>73</v>
      </c>
      <c r="I118" s="6" t="s">
        <v>3</v>
      </c>
      <c r="J118" s="3" t="s">
        <v>550</v>
      </c>
      <c r="K118" s="23">
        <v>0</v>
      </c>
      <c r="L118" s="24">
        <v>45342</v>
      </c>
    </row>
    <row r="119" spans="1:12" x14ac:dyDescent="0.25">
      <c r="A119" s="3" t="str">
        <f t="shared" si="3"/>
        <v>MODEPSICOSEN</v>
      </c>
      <c r="B119" s="6">
        <v>1</v>
      </c>
      <c r="C119" s="3" t="s">
        <v>137</v>
      </c>
      <c r="D119" s="14" t="s">
        <v>1</v>
      </c>
      <c r="E119" s="14" t="s">
        <v>207</v>
      </c>
      <c r="F119" s="14" t="s">
        <v>208</v>
      </c>
      <c r="G119" s="13" t="s">
        <v>209</v>
      </c>
      <c r="H119" s="14" t="s">
        <v>73</v>
      </c>
      <c r="I119" s="6" t="s">
        <v>3</v>
      </c>
      <c r="J119" s="3" t="s">
        <v>210</v>
      </c>
      <c r="K119" s="23">
        <v>0</v>
      </c>
      <c r="L119" s="24">
        <v>45342</v>
      </c>
    </row>
    <row r="120" spans="1:12" x14ac:dyDescent="0.25">
      <c r="A120" s="3" t="str">
        <f t="shared" si="3"/>
        <v/>
      </c>
      <c r="B120" s="6"/>
      <c r="C120" s="3"/>
      <c r="D120" s="14"/>
      <c r="E120" s="14"/>
      <c r="F120" s="14"/>
      <c r="G120" s="13"/>
      <c r="H120" s="14"/>
      <c r="I120" s="6"/>
      <c r="J120" s="3"/>
      <c r="K120" s="21"/>
      <c r="L120" s="3"/>
    </row>
    <row r="121" spans="1:12" x14ac:dyDescent="0.25">
      <c r="A121" s="3" t="str">
        <f t="shared" si="3"/>
        <v/>
      </c>
      <c r="B121" s="6"/>
      <c r="C121" s="3"/>
      <c r="D121" s="14"/>
      <c r="E121" s="14"/>
      <c r="F121" s="14"/>
      <c r="G121" s="13"/>
      <c r="H121" s="14"/>
      <c r="I121" s="6"/>
      <c r="J121" s="3"/>
      <c r="K121" s="21"/>
      <c r="L121" s="3"/>
    </row>
    <row r="122" spans="1:12" x14ac:dyDescent="0.25">
      <c r="A122" s="3" t="str">
        <f t="shared" si="3"/>
        <v/>
      </c>
      <c r="B122" s="6"/>
      <c r="C122" s="3"/>
      <c r="D122" s="14"/>
      <c r="E122" s="14"/>
      <c r="F122" s="14"/>
      <c r="G122" s="13"/>
      <c r="H122" s="14"/>
      <c r="I122" s="6"/>
      <c r="J122" s="3"/>
      <c r="K122" s="21"/>
      <c r="L122" s="3"/>
    </row>
    <row r="123" spans="1:12" s="1" customFormat="1" x14ac:dyDescent="0.25">
      <c r="A123" s="9" t="s">
        <v>70</v>
      </c>
      <c r="B123" s="9" t="s">
        <v>69</v>
      </c>
      <c r="C123" s="9" t="s">
        <v>71</v>
      </c>
      <c r="D123" s="9" t="s">
        <v>63</v>
      </c>
      <c r="E123" s="9" t="s">
        <v>64</v>
      </c>
      <c r="F123" s="9" t="s">
        <v>65</v>
      </c>
      <c r="G123" s="10" t="s">
        <v>78</v>
      </c>
      <c r="H123" s="9" t="s">
        <v>66</v>
      </c>
      <c r="I123" s="9" t="s">
        <v>67</v>
      </c>
      <c r="J123" s="9" t="s">
        <v>72</v>
      </c>
      <c r="K123" s="22" t="s">
        <v>68</v>
      </c>
      <c r="L123" s="9" t="s">
        <v>584</v>
      </c>
    </row>
    <row r="124" spans="1:12" x14ac:dyDescent="0.25">
      <c r="A124" s="3" t="str">
        <f t="shared" ref="A124:A139" si="4">CONCATENATE(LEFT(C124,4),LEFT(H124,8))</f>
        <v>MINIPSICOSEN</v>
      </c>
      <c r="B124" s="6">
        <v>1</v>
      </c>
      <c r="C124" s="3" t="s">
        <v>179</v>
      </c>
      <c r="D124" s="14" t="s">
        <v>1</v>
      </c>
      <c r="E124" s="14" t="s">
        <v>171</v>
      </c>
      <c r="F124" s="14" t="s">
        <v>211</v>
      </c>
      <c r="G124" s="13" t="s">
        <v>172</v>
      </c>
      <c r="H124" s="14" t="s">
        <v>74</v>
      </c>
      <c r="I124" s="6" t="s">
        <v>3</v>
      </c>
      <c r="J124" s="3" t="s">
        <v>174</v>
      </c>
      <c r="K124" s="23">
        <v>15680</v>
      </c>
      <c r="L124" s="24">
        <v>45338</v>
      </c>
    </row>
    <row r="125" spans="1:12" x14ac:dyDescent="0.25">
      <c r="A125" s="3" t="str">
        <f t="shared" si="4"/>
        <v>MONIPSICOSEN</v>
      </c>
      <c r="B125" s="6">
        <v>1</v>
      </c>
      <c r="C125" s="3" t="s">
        <v>4</v>
      </c>
      <c r="D125" s="14" t="s">
        <v>1</v>
      </c>
      <c r="E125" s="14" t="s">
        <v>5</v>
      </c>
      <c r="F125" s="14" t="s">
        <v>212</v>
      </c>
      <c r="G125" s="13" t="s">
        <v>213</v>
      </c>
      <c r="H125" s="14" t="s">
        <v>74</v>
      </c>
      <c r="I125" s="6" t="s">
        <v>3</v>
      </c>
      <c r="J125" s="3" t="s">
        <v>175</v>
      </c>
      <c r="K125" s="21">
        <v>0</v>
      </c>
      <c r="L125" s="24">
        <v>45338</v>
      </c>
    </row>
    <row r="126" spans="1:12" x14ac:dyDescent="0.25">
      <c r="A126" s="3" t="str">
        <f t="shared" si="4"/>
        <v>MONIPSICOSEN</v>
      </c>
      <c r="B126" s="6">
        <v>1</v>
      </c>
      <c r="C126" s="3" t="s">
        <v>4</v>
      </c>
      <c r="D126" s="14" t="s">
        <v>1</v>
      </c>
      <c r="E126" s="14" t="s">
        <v>5</v>
      </c>
      <c r="F126" s="14" t="s">
        <v>214</v>
      </c>
      <c r="G126" s="13" t="s">
        <v>215</v>
      </c>
      <c r="H126" s="14" t="s">
        <v>74</v>
      </c>
      <c r="I126" s="6" t="s">
        <v>3</v>
      </c>
      <c r="J126" s="3" t="s">
        <v>176</v>
      </c>
      <c r="K126" s="21">
        <v>0</v>
      </c>
      <c r="L126" s="24">
        <v>45338</v>
      </c>
    </row>
    <row r="127" spans="1:12" x14ac:dyDescent="0.25">
      <c r="A127" s="3" t="str">
        <f t="shared" si="4"/>
        <v>MOUSPSICOSEN</v>
      </c>
      <c r="B127" s="6">
        <v>1</v>
      </c>
      <c r="C127" s="3" t="s">
        <v>6</v>
      </c>
      <c r="D127" s="14" t="s">
        <v>1</v>
      </c>
      <c r="E127" s="14" t="s">
        <v>40</v>
      </c>
      <c r="F127" s="14" t="s">
        <v>216</v>
      </c>
      <c r="G127" s="13" t="s">
        <v>180</v>
      </c>
      <c r="H127" s="14" t="s">
        <v>74</v>
      </c>
      <c r="I127" s="6" t="s">
        <v>3</v>
      </c>
      <c r="J127" s="3" t="s">
        <v>544</v>
      </c>
      <c r="K127" s="21">
        <v>0</v>
      </c>
      <c r="L127" s="24">
        <v>45338</v>
      </c>
    </row>
    <row r="128" spans="1:12" x14ac:dyDescent="0.25">
      <c r="A128" s="3" t="str">
        <f t="shared" si="4"/>
        <v>HUB PSICOSEN</v>
      </c>
      <c r="B128" s="6">
        <v>1</v>
      </c>
      <c r="C128" s="3" t="s">
        <v>41</v>
      </c>
      <c r="D128" s="14" t="s">
        <v>1</v>
      </c>
      <c r="E128" s="14" t="s">
        <v>217</v>
      </c>
      <c r="F128" s="14" t="s">
        <v>180</v>
      </c>
      <c r="G128" s="13" t="s">
        <v>180</v>
      </c>
      <c r="H128" s="14" t="s">
        <v>74</v>
      </c>
      <c r="I128" s="6" t="s">
        <v>3</v>
      </c>
      <c r="J128" s="3" t="s">
        <v>181</v>
      </c>
      <c r="K128" s="21">
        <v>0</v>
      </c>
      <c r="L128" s="24">
        <v>45338</v>
      </c>
    </row>
    <row r="129" spans="1:12" x14ac:dyDescent="0.25">
      <c r="A129" s="3" t="str">
        <f t="shared" si="4"/>
        <v>UPS PSICOSEN</v>
      </c>
      <c r="B129" s="6">
        <v>1</v>
      </c>
      <c r="C129" s="3" t="s">
        <v>508</v>
      </c>
      <c r="D129" s="14" t="s">
        <v>1</v>
      </c>
      <c r="E129" s="14" t="s">
        <v>218</v>
      </c>
      <c r="F129" s="14" t="s">
        <v>219</v>
      </c>
      <c r="G129" s="13" t="s">
        <v>220</v>
      </c>
      <c r="H129" s="14" t="s">
        <v>74</v>
      </c>
      <c r="I129" s="6" t="s">
        <v>3</v>
      </c>
      <c r="J129" s="3" t="s">
        <v>557</v>
      </c>
      <c r="K129" s="21">
        <v>0</v>
      </c>
      <c r="L129" s="24">
        <v>45338</v>
      </c>
    </row>
    <row r="130" spans="1:12" x14ac:dyDescent="0.25">
      <c r="A130" s="3" t="str">
        <f t="shared" si="4"/>
        <v>TECLPSICOSEN</v>
      </c>
      <c r="B130" s="6">
        <v>1</v>
      </c>
      <c r="C130" s="3" t="s">
        <v>11</v>
      </c>
      <c r="D130" s="14" t="s">
        <v>1</v>
      </c>
      <c r="E130" s="14" t="s">
        <v>40</v>
      </c>
      <c r="F130" s="14" t="s">
        <v>221</v>
      </c>
      <c r="G130" s="13" t="s">
        <v>81</v>
      </c>
      <c r="H130" s="14" t="s">
        <v>74</v>
      </c>
      <c r="I130" s="6" t="s">
        <v>3</v>
      </c>
      <c r="J130" s="3" t="s">
        <v>185</v>
      </c>
      <c r="K130" s="21">
        <v>0</v>
      </c>
      <c r="L130" s="24">
        <v>45338</v>
      </c>
    </row>
    <row r="131" spans="1:12" x14ac:dyDescent="0.25">
      <c r="A131" s="3" t="str">
        <f t="shared" si="4"/>
        <v>VISIPSICOSEN</v>
      </c>
      <c r="B131" s="6">
        <v>1</v>
      </c>
      <c r="C131" s="3" t="s">
        <v>198</v>
      </c>
      <c r="D131" s="14" t="s">
        <v>1</v>
      </c>
      <c r="E131" s="14" t="s">
        <v>44</v>
      </c>
      <c r="F131" s="14" t="s">
        <v>186</v>
      </c>
      <c r="G131" s="13" t="s">
        <v>222</v>
      </c>
      <c r="H131" s="14" t="s">
        <v>74</v>
      </c>
      <c r="I131" s="6" t="s">
        <v>3</v>
      </c>
      <c r="J131" s="3" t="s">
        <v>188</v>
      </c>
      <c r="K131" s="23">
        <v>0</v>
      </c>
      <c r="L131" s="24">
        <v>45338</v>
      </c>
    </row>
    <row r="132" spans="1:12" x14ac:dyDescent="0.25">
      <c r="A132" s="3" t="str">
        <f t="shared" si="4"/>
        <v>CONSPSICOSEN</v>
      </c>
      <c r="B132" s="6">
        <v>1</v>
      </c>
      <c r="C132" s="3" t="s">
        <v>58</v>
      </c>
      <c r="D132" s="14" t="s">
        <v>22</v>
      </c>
      <c r="E132" s="14" t="s">
        <v>44</v>
      </c>
      <c r="F132" s="14" t="s">
        <v>85</v>
      </c>
      <c r="G132" s="13" t="s">
        <v>222</v>
      </c>
      <c r="H132" s="14" t="s">
        <v>74</v>
      </c>
      <c r="I132" s="6" t="s">
        <v>3</v>
      </c>
      <c r="J132" s="3" t="s">
        <v>193</v>
      </c>
      <c r="K132" s="23">
        <v>0</v>
      </c>
      <c r="L132" s="24">
        <v>45338</v>
      </c>
    </row>
    <row r="133" spans="1:12" x14ac:dyDescent="0.25">
      <c r="A133" s="3" t="str">
        <f t="shared" si="4"/>
        <v>PEDAPSICOSEN</v>
      </c>
      <c r="B133" s="6">
        <v>1</v>
      </c>
      <c r="C133" s="3" t="s">
        <v>61</v>
      </c>
      <c r="D133" s="14" t="s">
        <v>62</v>
      </c>
      <c r="E133" s="14" t="s">
        <v>44</v>
      </c>
      <c r="F133" s="14" t="s">
        <v>85</v>
      </c>
      <c r="G133" s="13" t="s">
        <v>222</v>
      </c>
      <c r="H133" s="14" t="s">
        <v>74</v>
      </c>
      <c r="I133" s="6" t="s">
        <v>3</v>
      </c>
      <c r="J133" s="3" t="s">
        <v>192</v>
      </c>
      <c r="K133" s="23">
        <v>0</v>
      </c>
      <c r="L133" s="24">
        <v>45338</v>
      </c>
    </row>
    <row r="134" spans="1:12" x14ac:dyDescent="0.25">
      <c r="A134" s="3" t="str">
        <f t="shared" si="4"/>
        <v>AUDIPSICOSEN</v>
      </c>
      <c r="B134" s="6">
        <v>1</v>
      </c>
      <c r="C134" s="3" t="s">
        <v>194</v>
      </c>
      <c r="D134" s="14" t="s">
        <v>1</v>
      </c>
      <c r="E134" s="14" t="s">
        <v>44</v>
      </c>
      <c r="F134" s="14" t="s">
        <v>195</v>
      </c>
      <c r="G134" s="13" t="s">
        <v>223</v>
      </c>
      <c r="H134" s="14" t="s">
        <v>74</v>
      </c>
      <c r="I134" s="6" t="s">
        <v>3</v>
      </c>
      <c r="J134" s="3" t="s">
        <v>197</v>
      </c>
      <c r="K134" s="23">
        <v>0</v>
      </c>
      <c r="L134" s="24">
        <v>45338</v>
      </c>
    </row>
    <row r="135" spans="1:12" x14ac:dyDescent="0.25">
      <c r="A135" s="3" t="str">
        <f t="shared" si="4"/>
        <v>IMPRPSICOSEN</v>
      </c>
      <c r="B135" s="6">
        <v>1</v>
      </c>
      <c r="C135" s="3" t="s">
        <v>153</v>
      </c>
      <c r="D135" s="14" t="s">
        <v>1</v>
      </c>
      <c r="E135" s="14" t="s">
        <v>46</v>
      </c>
      <c r="F135" s="14" t="s">
        <v>224</v>
      </c>
      <c r="G135" s="13" t="s">
        <v>225</v>
      </c>
      <c r="H135" s="14" t="s">
        <v>74</v>
      </c>
      <c r="I135" s="6" t="s">
        <v>3</v>
      </c>
      <c r="J135" s="3" t="s">
        <v>201</v>
      </c>
      <c r="K135" s="23">
        <v>0</v>
      </c>
      <c r="L135" s="24">
        <v>45338</v>
      </c>
    </row>
    <row r="136" spans="1:12" x14ac:dyDescent="0.25">
      <c r="A136" s="3" t="str">
        <f t="shared" si="4"/>
        <v>CAMAPSICOSEN</v>
      </c>
      <c r="B136" s="6">
        <v>1</v>
      </c>
      <c r="C136" s="3" t="s">
        <v>202</v>
      </c>
      <c r="D136" s="14" t="s">
        <v>226</v>
      </c>
      <c r="E136" s="14" t="s">
        <v>14</v>
      </c>
      <c r="F136" s="14" t="s">
        <v>85</v>
      </c>
      <c r="G136" s="13" t="s">
        <v>83</v>
      </c>
      <c r="H136" s="14" t="s">
        <v>74</v>
      </c>
      <c r="I136" s="6" t="s">
        <v>3</v>
      </c>
      <c r="J136" s="3" t="s">
        <v>206</v>
      </c>
      <c r="K136" s="23">
        <v>0</v>
      </c>
      <c r="L136" s="24">
        <v>45338</v>
      </c>
    </row>
    <row r="137" spans="1:12" x14ac:dyDescent="0.25">
      <c r="A137" s="3" t="str">
        <f t="shared" si="4"/>
        <v/>
      </c>
      <c r="B137" s="6"/>
      <c r="C137" s="3"/>
      <c r="D137" s="14"/>
      <c r="E137" s="14"/>
      <c r="F137" s="14"/>
      <c r="G137" s="13"/>
      <c r="H137" s="14"/>
      <c r="I137" s="6"/>
      <c r="J137" s="3"/>
      <c r="K137" s="21"/>
      <c r="L137" s="3"/>
    </row>
    <row r="138" spans="1:12" x14ac:dyDescent="0.25">
      <c r="A138" s="3" t="str">
        <f t="shared" si="4"/>
        <v/>
      </c>
      <c r="B138" s="6"/>
      <c r="C138" s="3"/>
      <c r="D138" s="14"/>
      <c r="E138" s="14"/>
      <c r="F138" s="14"/>
      <c r="G138" s="13"/>
      <c r="H138" s="14"/>
      <c r="I138" s="6"/>
      <c r="J138" s="3"/>
      <c r="K138" s="21"/>
      <c r="L138" s="3"/>
    </row>
    <row r="139" spans="1:12" x14ac:dyDescent="0.25">
      <c r="A139" s="3" t="str">
        <f t="shared" si="4"/>
        <v/>
      </c>
      <c r="B139" s="6"/>
      <c r="C139" s="3"/>
      <c r="D139" s="14"/>
      <c r="E139" s="14"/>
      <c r="F139" s="14"/>
      <c r="G139" s="13"/>
      <c r="H139" s="14"/>
      <c r="I139" s="6"/>
      <c r="J139" s="3"/>
      <c r="K139" s="21"/>
      <c r="L139" s="3"/>
    </row>
    <row r="140" spans="1:12" s="1" customFormat="1" x14ac:dyDescent="0.25">
      <c r="A140" s="9" t="s">
        <v>70</v>
      </c>
      <c r="B140" s="9" t="s">
        <v>69</v>
      </c>
      <c r="C140" s="9" t="s">
        <v>71</v>
      </c>
      <c r="D140" s="9" t="s">
        <v>63</v>
      </c>
      <c r="E140" s="9" t="s">
        <v>64</v>
      </c>
      <c r="F140" s="9" t="s">
        <v>65</v>
      </c>
      <c r="G140" s="10" t="s">
        <v>78</v>
      </c>
      <c r="H140" s="9" t="s">
        <v>66</v>
      </c>
      <c r="I140" s="9" t="s">
        <v>67</v>
      </c>
      <c r="J140" s="9" t="s">
        <v>72</v>
      </c>
      <c r="K140" s="22" t="s">
        <v>68</v>
      </c>
      <c r="L140" s="9" t="s">
        <v>584</v>
      </c>
    </row>
    <row r="141" spans="1:12" x14ac:dyDescent="0.25">
      <c r="A141" s="3" t="str">
        <f t="shared" ref="A141:A151" si="5">CONCATENATE(LEFT(C141,4),LEFT(H141,8))</f>
        <v>COMPTESORERÍ</v>
      </c>
      <c r="B141" s="6">
        <v>1</v>
      </c>
      <c r="C141" s="3" t="s">
        <v>227</v>
      </c>
      <c r="D141" s="14" t="s">
        <v>1</v>
      </c>
      <c r="E141" s="14" t="s">
        <v>57</v>
      </c>
      <c r="F141" s="14" t="s">
        <v>228</v>
      </c>
      <c r="G141" s="13" t="s">
        <v>83</v>
      </c>
      <c r="H141" s="14" t="s">
        <v>56</v>
      </c>
      <c r="I141" s="6" t="s">
        <v>3</v>
      </c>
      <c r="J141" s="3" t="s">
        <v>509</v>
      </c>
      <c r="K141" s="21">
        <v>565.6</v>
      </c>
      <c r="L141" s="24">
        <v>45288</v>
      </c>
    </row>
    <row r="142" spans="1:12" x14ac:dyDescent="0.25">
      <c r="A142" s="3" t="str">
        <f t="shared" si="5"/>
        <v>PARLTESORERÍ</v>
      </c>
      <c r="B142" s="6">
        <v>1</v>
      </c>
      <c r="C142" s="3" t="s">
        <v>491</v>
      </c>
      <c r="D142" s="14" t="s">
        <v>1</v>
      </c>
      <c r="E142" s="14" t="s">
        <v>18</v>
      </c>
      <c r="F142" s="14" t="s">
        <v>85</v>
      </c>
      <c r="G142" s="13" t="s">
        <v>83</v>
      </c>
      <c r="H142" s="14" t="s">
        <v>56</v>
      </c>
      <c r="I142" s="6" t="s">
        <v>3</v>
      </c>
      <c r="J142" s="3" t="s">
        <v>547</v>
      </c>
      <c r="K142" s="21">
        <v>15</v>
      </c>
      <c r="L142" s="24">
        <v>44353</v>
      </c>
    </row>
    <row r="143" spans="1:12" x14ac:dyDescent="0.25">
      <c r="A143" s="3" t="str">
        <f t="shared" si="5"/>
        <v>IMPRTESORERÍ</v>
      </c>
      <c r="B143" s="6">
        <v>1</v>
      </c>
      <c r="C143" s="3" t="s">
        <v>153</v>
      </c>
      <c r="D143" s="14" t="s">
        <v>1</v>
      </c>
      <c r="E143" s="14" t="s">
        <v>46</v>
      </c>
      <c r="F143" s="14" t="s">
        <v>154</v>
      </c>
      <c r="G143" s="13" t="s">
        <v>229</v>
      </c>
      <c r="H143" s="14" t="s">
        <v>56</v>
      </c>
      <c r="I143" s="6" t="s">
        <v>3</v>
      </c>
      <c r="J143" s="3" t="s">
        <v>234</v>
      </c>
      <c r="K143" s="21">
        <v>185</v>
      </c>
      <c r="L143" s="24">
        <v>44375</v>
      </c>
    </row>
    <row r="144" spans="1:12" x14ac:dyDescent="0.25">
      <c r="A144" s="3" t="str">
        <f t="shared" si="5"/>
        <v>DISCTESORERÍ</v>
      </c>
      <c r="B144" s="6">
        <v>1</v>
      </c>
      <c r="C144" s="3" t="s">
        <v>527</v>
      </c>
      <c r="D144" s="14" t="s">
        <v>1</v>
      </c>
      <c r="E144" s="14" t="s">
        <v>230</v>
      </c>
      <c r="F144" s="14" t="s">
        <v>231</v>
      </c>
      <c r="G144" s="13" t="s">
        <v>232</v>
      </c>
      <c r="H144" s="14" t="s">
        <v>56</v>
      </c>
      <c r="I144" s="6" t="s">
        <v>3</v>
      </c>
      <c r="J144" s="3" t="s">
        <v>233</v>
      </c>
      <c r="K144" s="21">
        <v>80</v>
      </c>
      <c r="L144" s="24">
        <v>44624</v>
      </c>
    </row>
    <row r="145" spans="1:12" x14ac:dyDescent="0.25">
      <c r="A145" s="3" t="str">
        <f t="shared" si="5"/>
        <v>REGUTESORERÍ</v>
      </c>
      <c r="B145" s="6">
        <v>1</v>
      </c>
      <c r="C145" s="3" t="s">
        <v>8</v>
      </c>
      <c r="D145" s="14" t="s">
        <v>1</v>
      </c>
      <c r="E145" s="14" t="s">
        <v>235</v>
      </c>
      <c r="F145" s="14" t="s">
        <v>236</v>
      </c>
      <c r="G145" s="13" t="s">
        <v>237</v>
      </c>
      <c r="H145" s="14" t="s">
        <v>56</v>
      </c>
      <c r="I145" s="6" t="s">
        <v>3</v>
      </c>
      <c r="J145" s="3" t="s">
        <v>238</v>
      </c>
      <c r="K145" s="23">
        <v>30</v>
      </c>
      <c r="L145" s="24">
        <v>45489</v>
      </c>
    </row>
    <row r="146" spans="1:12" x14ac:dyDescent="0.25">
      <c r="A146" s="3" t="str">
        <f t="shared" si="5"/>
        <v>COMPTESORERÍ</v>
      </c>
      <c r="B146" s="6">
        <v>1</v>
      </c>
      <c r="C146" s="3" t="s">
        <v>227</v>
      </c>
      <c r="D146" s="14" t="s">
        <v>62</v>
      </c>
      <c r="E146" s="14" t="s">
        <v>12</v>
      </c>
      <c r="F146" s="14" t="s">
        <v>239</v>
      </c>
      <c r="G146" s="13" t="s">
        <v>240</v>
      </c>
      <c r="H146" s="14" t="s">
        <v>56</v>
      </c>
      <c r="I146" s="6" t="s">
        <v>10</v>
      </c>
      <c r="J146" s="3" t="s">
        <v>241</v>
      </c>
      <c r="K146" s="21">
        <v>100</v>
      </c>
      <c r="L146" s="24">
        <v>44222</v>
      </c>
    </row>
    <row r="147" spans="1:12" x14ac:dyDescent="0.25">
      <c r="A147" s="3" t="str">
        <f t="shared" si="5"/>
        <v>BASETESORERÍ</v>
      </c>
      <c r="B147" s="6">
        <v>1</v>
      </c>
      <c r="C147" s="3" t="s">
        <v>148</v>
      </c>
      <c r="D147" s="14" t="s">
        <v>1</v>
      </c>
      <c r="E147" s="14" t="s">
        <v>149</v>
      </c>
      <c r="F147" s="14" t="s">
        <v>150</v>
      </c>
      <c r="G147" s="13" t="s">
        <v>151</v>
      </c>
      <c r="H147" s="14" t="s">
        <v>56</v>
      </c>
      <c r="I147" s="6" t="s">
        <v>3</v>
      </c>
      <c r="J147" s="3" t="s">
        <v>152</v>
      </c>
      <c r="K147" s="21">
        <v>20</v>
      </c>
      <c r="L147" s="24">
        <v>44841</v>
      </c>
    </row>
    <row r="148" spans="1:12" x14ac:dyDescent="0.25">
      <c r="A148" s="3" t="str">
        <f t="shared" si="5"/>
        <v>ADAPTESORERÍ</v>
      </c>
      <c r="B148" s="6">
        <v>1</v>
      </c>
      <c r="C148" s="3" t="s">
        <v>529</v>
      </c>
      <c r="D148" s="14" t="s">
        <v>9</v>
      </c>
      <c r="E148" s="14" t="s">
        <v>528</v>
      </c>
      <c r="F148" s="14" t="s">
        <v>530</v>
      </c>
      <c r="G148" s="13">
        <v>8152</v>
      </c>
      <c r="H148" s="14" t="s">
        <v>56</v>
      </c>
      <c r="I148" s="6" t="s">
        <v>3</v>
      </c>
      <c r="J148" s="3" t="s">
        <v>531</v>
      </c>
      <c r="K148" s="21">
        <v>10</v>
      </c>
      <c r="L148" s="24">
        <v>45288</v>
      </c>
    </row>
    <row r="149" spans="1:12" x14ac:dyDescent="0.25">
      <c r="A149" s="3" t="str">
        <f t="shared" si="5"/>
        <v/>
      </c>
      <c r="B149" s="6"/>
      <c r="C149" s="3"/>
      <c r="D149" s="14"/>
      <c r="E149" s="14"/>
      <c r="F149" s="14"/>
      <c r="G149" s="13"/>
      <c r="H149" s="14"/>
      <c r="I149" s="6"/>
      <c r="J149" s="3"/>
      <c r="K149" s="21"/>
      <c r="L149" s="3"/>
    </row>
    <row r="150" spans="1:12" x14ac:dyDescent="0.25">
      <c r="A150" s="3" t="str">
        <f t="shared" si="5"/>
        <v/>
      </c>
      <c r="B150" s="6"/>
      <c r="C150" s="3"/>
      <c r="D150" s="14"/>
      <c r="E150" s="14"/>
      <c r="F150" s="14"/>
      <c r="G150" s="13"/>
      <c r="H150" s="14"/>
      <c r="I150" s="6"/>
      <c r="J150" s="3"/>
      <c r="K150" s="21"/>
      <c r="L150" s="3"/>
    </row>
    <row r="151" spans="1:12" x14ac:dyDescent="0.25">
      <c r="A151" s="3" t="str">
        <f t="shared" si="5"/>
        <v/>
      </c>
      <c r="B151" s="6"/>
      <c r="C151" s="3"/>
      <c r="D151" s="6"/>
      <c r="E151" s="6"/>
      <c r="F151" s="6"/>
      <c r="G151" s="7"/>
      <c r="H151" s="6"/>
      <c r="I151" s="6"/>
      <c r="J151" s="3"/>
      <c r="K151" s="21"/>
      <c r="L151" s="3"/>
    </row>
    <row r="152" spans="1:12" s="1" customFormat="1" x14ac:dyDescent="0.25">
      <c r="A152" s="9" t="s">
        <v>70</v>
      </c>
      <c r="B152" s="9" t="s">
        <v>69</v>
      </c>
      <c r="C152" s="9" t="s">
        <v>71</v>
      </c>
      <c r="D152" s="9" t="s">
        <v>63</v>
      </c>
      <c r="E152" s="9" t="s">
        <v>64</v>
      </c>
      <c r="F152" s="9" t="s">
        <v>65</v>
      </c>
      <c r="G152" s="10"/>
      <c r="H152" s="9" t="s">
        <v>66</v>
      </c>
      <c r="I152" s="9" t="s">
        <v>67</v>
      </c>
      <c r="J152" s="9" t="s">
        <v>72</v>
      </c>
      <c r="K152" s="22" t="s">
        <v>68</v>
      </c>
      <c r="L152" s="9" t="s">
        <v>584</v>
      </c>
    </row>
    <row r="153" spans="1:12" x14ac:dyDescent="0.25">
      <c r="A153" s="3" t="str">
        <f t="shared" ref="A153:A161" si="6">CONCATENATE(LEFT(C153,4),LEFT(H153,8))</f>
        <v>COMPCONTABIL</v>
      </c>
      <c r="B153" s="6">
        <v>1</v>
      </c>
      <c r="C153" s="3" t="s">
        <v>227</v>
      </c>
      <c r="D153" s="14" t="s">
        <v>1</v>
      </c>
      <c r="E153" s="14" t="s">
        <v>57</v>
      </c>
      <c r="F153" s="14" t="s">
        <v>228</v>
      </c>
      <c r="G153" s="13" t="s">
        <v>83</v>
      </c>
      <c r="H153" s="14" t="s">
        <v>15</v>
      </c>
      <c r="I153" s="6" t="s">
        <v>3</v>
      </c>
      <c r="J153" s="3" t="s">
        <v>509</v>
      </c>
      <c r="K153" s="21">
        <v>565.6</v>
      </c>
      <c r="L153" s="24">
        <v>45288</v>
      </c>
    </row>
    <row r="154" spans="1:12" x14ac:dyDescent="0.25">
      <c r="A154" s="3" t="str">
        <f t="shared" si="6"/>
        <v>MOUSCONTABIL</v>
      </c>
      <c r="B154" s="6">
        <v>1</v>
      </c>
      <c r="C154" s="3" t="s">
        <v>6</v>
      </c>
      <c r="D154" s="14" t="s">
        <v>104</v>
      </c>
      <c r="E154" s="14" t="s">
        <v>14</v>
      </c>
      <c r="F154" s="14" t="s">
        <v>242</v>
      </c>
      <c r="G154" s="13" t="s">
        <v>83</v>
      </c>
      <c r="H154" s="14" t="s">
        <v>15</v>
      </c>
      <c r="I154" s="6" t="s">
        <v>3</v>
      </c>
      <c r="J154" s="3" t="s">
        <v>540</v>
      </c>
      <c r="K154" s="21">
        <v>6</v>
      </c>
      <c r="L154" s="24">
        <v>44342</v>
      </c>
    </row>
    <row r="155" spans="1:12" x14ac:dyDescent="0.25">
      <c r="A155" s="3" t="str">
        <f t="shared" si="6"/>
        <v>IMPRCONTABIL</v>
      </c>
      <c r="B155" s="6">
        <v>1</v>
      </c>
      <c r="C155" s="3" t="s">
        <v>153</v>
      </c>
      <c r="D155" s="14" t="s">
        <v>1</v>
      </c>
      <c r="E155" s="14" t="s">
        <v>46</v>
      </c>
      <c r="F155" s="14" t="s">
        <v>154</v>
      </c>
      <c r="G155" s="13" t="s">
        <v>243</v>
      </c>
      <c r="H155" s="14" t="s">
        <v>15</v>
      </c>
      <c r="I155" s="6" t="s">
        <v>10</v>
      </c>
      <c r="J155" s="3" t="s">
        <v>234</v>
      </c>
      <c r="K155" s="21">
        <v>185</v>
      </c>
      <c r="L155" s="24">
        <v>44375</v>
      </c>
    </row>
    <row r="156" spans="1:12" x14ac:dyDescent="0.25">
      <c r="A156" s="3" t="str">
        <f t="shared" si="6"/>
        <v>REGUCONTABIL</v>
      </c>
      <c r="B156" s="6">
        <v>1</v>
      </c>
      <c r="C156" s="3" t="s">
        <v>8</v>
      </c>
      <c r="D156" s="14" t="s">
        <v>1</v>
      </c>
      <c r="E156" s="14" t="s">
        <v>235</v>
      </c>
      <c r="F156" s="14" t="s">
        <v>236</v>
      </c>
      <c r="G156" s="13" t="s">
        <v>244</v>
      </c>
      <c r="H156" s="14" t="s">
        <v>15</v>
      </c>
      <c r="I156" s="6" t="s">
        <v>3</v>
      </c>
      <c r="J156" s="3" t="s">
        <v>238</v>
      </c>
      <c r="K156" s="23">
        <v>30</v>
      </c>
      <c r="L156" s="24">
        <v>45489</v>
      </c>
    </row>
    <row r="157" spans="1:12" x14ac:dyDescent="0.25">
      <c r="A157" s="3" t="str">
        <f t="shared" si="6"/>
        <v>BASECONTABIL</v>
      </c>
      <c r="B157" s="6">
        <v>1</v>
      </c>
      <c r="C157" s="3" t="s">
        <v>148</v>
      </c>
      <c r="D157" s="14" t="s">
        <v>1</v>
      </c>
      <c r="E157" s="14" t="s">
        <v>149</v>
      </c>
      <c r="F157" s="14" t="s">
        <v>150</v>
      </c>
      <c r="G157" s="13" t="s">
        <v>151</v>
      </c>
      <c r="H157" s="14" t="s">
        <v>15</v>
      </c>
      <c r="I157" s="6" t="s">
        <v>3</v>
      </c>
      <c r="J157" s="3" t="s">
        <v>152</v>
      </c>
      <c r="K157" s="21">
        <v>20</v>
      </c>
      <c r="L157" s="24">
        <v>44841</v>
      </c>
    </row>
    <row r="158" spans="1:12" x14ac:dyDescent="0.25">
      <c r="A158" s="3" t="str">
        <f t="shared" si="6"/>
        <v>ADAPCONTABIL</v>
      </c>
      <c r="B158" s="6">
        <v>1</v>
      </c>
      <c r="C158" s="3" t="s">
        <v>529</v>
      </c>
      <c r="D158" s="14" t="s">
        <v>9</v>
      </c>
      <c r="E158" s="14" t="s">
        <v>528</v>
      </c>
      <c r="F158" s="14" t="s">
        <v>530</v>
      </c>
      <c r="G158" s="13">
        <v>8152</v>
      </c>
      <c r="H158" s="14" t="s">
        <v>15</v>
      </c>
      <c r="I158" s="6" t="s">
        <v>3</v>
      </c>
      <c r="J158" s="3" t="s">
        <v>531</v>
      </c>
      <c r="K158" s="21">
        <v>10</v>
      </c>
      <c r="L158" s="24">
        <v>45288</v>
      </c>
    </row>
    <row r="159" spans="1:12" x14ac:dyDescent="0.25">
      <c r="A159" s="3" t="str">
        <f t="shared" si="6"/>
        <v/>
      </c>
      <c r="B159" s="6"/>
      <c r="C159" s="3"/>
      <c r="D159" s="14"/>
      <c r="E159" s="14"/>
      <c r="F159" s="14"/>
      <c r="G159" s="13"/>
      <c r="H159" s="14"/>
      <c r="I159" s="6"/>
      <c r="J159" s="3"/>
      <c r="K159" s="21"/>
      <c r="L159" s="3"/>
    </row>
    <row r="160" spans="1:12" x14ac:dyDescent="0.25">
      <c r="A160" s="3" t="str">
        <f t="shared" si="6"/>
        <v/>
      </c>
      <c r="B160" s="6"/>
      <c r="C160" s="3"/>
      <c r="D160" s="14"/>
      <c r="E160" s="14"/>
      <c r="F160" s="14"/>
      <c r="G160" s="13"/>
      <c r="H160" s="14"/>
      <c r="I160" s="6"/>
      <c r="J160" s="3"/>
      <c r="K160" s="21"/>
      <c r="L160" s="3"/>
    </row>
    <row r="161" spans="1:12" x14ac:dyDescent="0.25">
      <c r="A161" s="3" t="str">
        <f t="shared" si="6"/>
        <v/>
      </c>
      <c r="B161" s="6"/>
      <c r="C161" s="3"/>
      <c r="D161" s="14"/>
      <c r="E161" s="14"/>
      <c r="F161" s="14"/>
      <c r="G161" s="13"/>
      <c r="H161" s="14"/>
      <c r="I161" s="6"/>
      <c r="J161" s="3"/>
      <c r="K161" s="21"/>
      <c r="L161" s="3"/>
    </row>
    <row r="162" spans="1:12" s="1" customFormat="1" x14ac:dyDescent="0.25">
      <c r="A162" s="9" t="s">
        <v>70</v>
      </c>
      <c r="B162" s="9" t="s">
        <v>69</v>
      </c>
      <c r="C162" s="9" t="s">
        <v>71</v>
      </c>
      <c r="D162" s="9" t="s">
        <v>63</v>
      </c>
      <c r="E162" s="9" t="s">
        <v>64</v>
      </c>
      <c r="F162" s="9" t="s">
        <v>65</v>
      </c>
      <c r="G162" s="10" t="s">
        <v>78</v>
      </c>
      <c r="H162" s="9" t="s">
        <v>66</v>
      </c>
      <c r="I162" s="9" t="s">
        <v>67</v>
      </c>
      <c r="J162" s="9" t="s">
        <v>72</v>
      </c>
      <c r="K162" s="22" t="s">
        <v>68</v>
      </c>
      <c r="L162" s="9" t="s">
        <v>584</v>
      </c>
    </row>
    <row r="163" spans="1:12" x14ac:dyDescent="0.25">
      <c r="A163" s="3" t="str">
        <f t="shared" ref="A163:A235" si="7">CONCATENATE(LEFT(C163,4),LEFT(H163,8))</f>
        <v>COMPSECRETAR</v>
      </c>
      <c r="B163" s="6">
        <v>1</v>
      </c>
      <c r="C163" s="3" t="s">
        <v>227</v>
      </c>
      <c r="D163" s="14" t="s">
        <v>1</v>
      </c>
      <c r="E163" s="14" t="s">
        <v>57</v>
      </c>
      <c r="F163" s="14" t="s">
        <v>228</v>
      </c>
      <c r="G163" s="13" t="s">
        <v>83</v>
      </c>
      <c r="H163" s="14" t="s">
        <v>582</v>
      </c>
      <c r="I163" s="6" t="s">
        <v>3</v>
      </c>
      <c r="J163" s="3" t="s">
        <v>509</v>
      </c>
      <c r="K163" s="21">
        <v>565.6</v>
      </c>
      <c r="L163" s="24">
        <v>45288</v>
      </c>
    </row>
    <row r="164" spans="1:12" x14ac:dyDescent="0.25">
      <c r="A164" s="3" t="str">
        <f t="shared" si="7"/>
        <v>COMPSECRETAR</v>
      </c>
      <c r="B164" s="6">
        <v>1</v>
      </c>
      <c r="C164" s="3" t="s">
        <v>227</v>
      </c>
      <c r="D164" s="14" t="s">
        <v>1</v>
      </c>
      <c r="E164" s="14" t="s">
        <v>57</v>
      </c>
      <c r="F164" s="14" t="s">
        <v>228</v>
      </c>
      <c r="G164" s="13" t="s">
        <v>83</v>
      </c>
      <c r="H164" s="14" t="s">
        <v>582</v>
      </c>
      <c r="I164" s="6" t="s">
        <v>3</v>
      </c>
      <c r="J164" s="3" t="s">
        <v>509</v>
      </c>
      <c r="K164" s="21">
        <v>565.6</v>
      </c>
      <c r="L164" s="24">
        <v>45288</v>
      </c>
    </row>
    <row r="165" spans="1:12" x14ac:dyDescent="0.25">
      <c r="A165" s="3" t="str">
        <f t="shared" si="7"/>
        <v>MOUSSECRETAR</v>
      </c>
      <c r="B165" s="6">
        <v>1</v>
      </c>
      <c r="C165" s="3" t="s">
        <v>6</v>
      </c>
      <c r="D165" s="14" t="s">
        <v>104</v>
      </c>
      <c r="E165" s="14" t="s">
        <v>14</v>
      </c>
      <c r="F165" s="14" t="s">
        <v>245</v>
      </c>
      <c r="G165" s="13" t="s">
        <v>83</v>
      </c>
      <c r="H165" s="14" t="s">
        <v>582</v>
      </c>
      <c r="I165" s="6" t="s">
        <v>3</v>
      </c>
      <c r="J165" s="3" t="s">
        <v>540</v>
      </c>
      <c r="K165" s="21">
        <v>6</v>
      </c>
      <c r="L165" s="24">
        <v>44342</v>
      </c>
    </row>
    <row r="166" spans="1:12" x14ac:dyDescent="0.25">
      <c r="A166" s="3" t="str">
        <f t="shared" si="7"/>
        <v>MOUSSECRETAR</v>
      </c>
      <c r="B166" s="6">
        <v>1</v>
      </c>
      <c r="C166" s="3" t="s">
        <v>6</v>
      </c>
      <c r="D166" s="14" t="s">
        <v>104</v>
      </c>
      <c r="E166" s="14" t="s">
        <v>14</v>
      </c>
      <c r="F166" s="14" t="s">
        <v>246</v>
      </c>
      <c r="G166" s="13" t="s">
        <v>83</v>
      </c>
      <c r="H166" s="14" t="s">
        <v>582</v>
      </c>
      <c r="I166" s="6" t="s">
        <v>3</v>
      </c>
      <c r="J166" s="3" t="s">
        <v>540</v>
      </c>
      <c r="K166" s="21">
        <v>6</v>
      </c>
      <c r="L166" s="24">
        <v>44342</v>
      </c>
    </row>
    <row r="167" spans="1:12" x14ac:dyDescent="0.25">
      <c r="A167" s="3" t="str">
        <f t="shared" si="7"/>
        <v>IMPRSECRETAR</v>
      </c>
      <c r="B167" s="6">
        <v>1</v>
      </c>
      <c r="C167" s="3" t="s">
        <v>153</v>
      </c>
      <c r="D167" s="14" t="s">
        <v>1</v>
      </c>
      <c r="E167" s="14" t="s">
        <v>46</v>
      </c>
      <c r="F167" s="14" t="s">
        <v>247</v>
      </c>
      <c r="G167" s="13" t="s">
        <v>248</v>
      </c>
      <c r="H167" s="14" t="s">
        <v>582</v>
      </c>
      <c r="I167" s="6" t="s">
        <v>3</v>
      </c>
      <c r="J167" s="3" t="s">
        <v>234</v>
      </c>
      <c r="K167" s="21">
        <v>200</v>
      </c>
      <c r="L167" s="24">
        <v>44205</v>
      </c>
    </row>
    <row r="168" spans="1:12" x14ac:dyDescent="0.25">
      <c r="A168" s="3" t="str">
        <f t="shared" si="7"/>
        <v>PARLSECRETAR</v>
      </c>
      <c r="B168" s="6">
        <v>1</v>
      </c>
      <c r="C168" s="3" t="s">
        <v>491</v>
      </c>
      <c r="D168" s="14" t="s">
        <v>249</v>
      </c>
      <c r="E168" s="14" t="s">
        <v>25</v>
      </c>
      <c r="F168" s="14" t="s">
        <v>85</v>
      </c>
      <c r="G168" s="13" t="s">
        <v>255</v>
      </c>
      <c r="H168" s="14" t="s">
        <v>582</v>
      </c>
      <c r="I168" s="6" t="s">
        <v>3</v>
      </c>
      <c r="J168" s="3" t="s">
        <v>547</v>
      </c>
      <c r="K168" s="21">
        <v>15</v>
      </c>
      <c r="L168" s="24">
        <v>44342</v>
      </c>
    </row>
    <row r="169" spans="1:12" x14ac:dyDescent="0.25">
      <c r="A169" s="3" t="str">
        <f t="shared" si="7"/>
        <v>REGUSECRETAR</v>
      </c>
      <c r="B169" s="6">
        <v>1</v>
      </c>
      <c r="C169" s="3" t="s">
        <v>8</v>
      </c>
      <c r="D169" s="14" t="s">
        <v>1</v>
      </c>
      <c r="E169" s="14" t="s">
        <v>235</v>
      </c>
      <c r="F169" s="14" t="s">
        <v>236</v>
      </c>
      <c r="G169" s="13" t="s">
        <v>244</v>
      </c>
      <c r="H169" s="14" t="s">
        <v>582</v>
      </c>
      <c r="I169" s="6" t="s">
        <v>3</v>
      </c>
      <c r="J169" s="3" t="s">
        <v>238</v>
      </c>
      <c r="K169" s="23">
        <v>30</v>
      </c>
      <c r="L169" s="24">
        <v>45489</v>
      </c>
    </row>
    <row r="170" spans="1:12" x14ac:dyDescent="0.25">
      <c r="A170" s="3" t="str">
        <f t="shared" si="7"/>
        <v>REGUSECRETAR</v>
      </c>
      <c r="B170" s="6">
        <v>1</v>
      </c>
      <c r="C170" s="3" t="s">
        <v>8</v>
      </c>
      <c r="D170" s="14" t="s">
        <v>1</v>
      </c>
      <c r="E170" s="14" t="s">
        <v>25</v>
      </c>
      <c r="F170" s="14" t="s">
        <v>123</v>
      </c>
      <c r="G170" s="13">
        <v>120312598</v>
      </c>
      <c r="H170" s="14" t="s">
        <v>582</v>
      </c>
      <c r="I170" s="6" t="s">
        <v>3</v>
      </c>
      <c r="J170" s="3" t="s">
        <v>558</v>
      </c>
      <c r="K170" s="21">
        <v>17</v>
      </c>
      <c r="L170" s="24">
        <v>44342</v>
      </c>
    </row>
    <row r="171" spans="1:12" x14ac:dyDescent="0.25">
      <c r="A171" s="3" t="str">
        <f t="shared" si="7"/>
        <v>REGUSECRETAR</v>
      </c>
      <c r="B171" s="6">
        <v>1</v>
      </c>
      <c r="C171" s="3" t="s">
        <v>8</v>
      </c>
      <c r="D171" s="14" t="s">
        <v>1</v>
      </c>
      <c r="E171" s="14" t="s">
        <v>25</v>
      </c>
      <c r="F171" s="14" t="s">
        <v>123</v>
      </c>
      <c r="G171" s="13">
        <v>120312486</v>
      </c>
      <c r="H171" s="14" t="s">
        <v>582</v>
      </c>
      <c r="I171" s="6" t="s">
        <v>3</v>
      </c>
      <c r="J171" s="3" t="s">
        <v>558</v>
      </c>
      <c r="K171" s="21">
        <v>17</v>
      </c>
      <c r="L171" s="24">
        <v>44342</v>
      </c>
    </row>
    <row r="172" spans="1:12" x14ac:dyDescent="0.25">
      <c r="A172" s="3" t="str">
        <f t="shared" si="7"/>
        <v>BASESECRETAR</v>
      </c>
      <c r="B172" s="6">
        <v>1</v>
      </c>
      <c r="C172" s="3" t="s">
        <v>148</v>
      </c>
      <c r="D172" s="14" t="s">
        <v>1</v>
      </c>
      <c r="E172" s="14" t="s">
        <v>149</v>
      </c>
      <c r="F172" s="14" t="s">
        <v>150</v>
      </c>
      <c r="G172" s="13" t="s">
        <v>151</v>
      </c>
      <c r="H172" s="14" t="s">
        <v>582</v>
      </c>
      <c r="I172" s="6" t="s">
        <v>3</v>
      </c>
      <c r="J172" s="3" t="s">
        <v>152</v>
      </c>
      <c r="K172" s="21">
        <v>20</v>
      </c>
      <c r="L172" s="24">
        <v>44841</v>
      </c>
    </row>
    <row r="173" spans="1:12" x14ac:dyDescent="0.25">
      <c r="A173" s="3" t="str">
        <f t="shared" si="7"/>
        <v>BASESECRETAR</v>
      </c>
      <c r="B173" s="6">
        <v>1</v>
      </c>
      <c r="C173" s="3" t="s">
        <v>148</v>
      </c>
      <c r="D173" s="14" t="s">
        <v>1</v>
      </c>
      <c r="E173" s="14" t="s">
        <v>149</v>
      </c>
      <c r="F173" s="14" t="s">
        <v>150</v>
      </c>
      <c r="G173" s="13" t="s">
        <v>151</v>
      </c>
      <c r="H173" s="14" t="s">
        <v>582</v>
      </c>
      <c r="I173" s="6" t="s">
        <v>3</v>
      </c>
      <c r="J173" s="3" t="s">
        <v>152</v>
      </c>
      <c r="K173" s="21">
        <v>20</v>
      </c>
      <c r="L173" s="24">
        <v>44841</v>
      </c>
    </row>
    <row r="174" spans="1:12" x14ac:dyDescent="0.25">
      <c r="A174" s="3" t="str">
        <f t="shared" si="7"/>
        <v>PARLSECRETAR</v>
      </c>
      <c r="B174" s="6">
        <v>1</v>
      </c>
      <c r="C174" s="3" t="s">
        <v>251</v>
      </c>
      <c r="D174" s="14" t="s">
        <v>252</v>
      </c>
      <c r="E174" s="14" t="s">
        <v>13</v>
      </c>
      <c r="F174" s="14" t="s">
        <v>253</v>
      </c>
      <c r="G174" s="13" t="s">
        <v>83</v>
      </c>
      <c r="H174" s="14" t="s">
        <v>582</v>
      </c>
      <c r="I174" s="6" t="s">
        <v>3</v>
      </c>
      <c r="J174" s="3" t="s">
        <v>254</v>
      </c>
      <c r="K174" s="21">
        <v>15</v>
      </c>
      <c r="L174" s="24">
        <v>45288</v>
      </c>
    </row>
    <row r="175" spans="1:12" x14ac:dyDescent="0.25">
      <c r="A175" s="3" t="str">
        <f t="shared" si="7"/>
        <v>SWITSECRETAR</v>
      </c>
      <c r="B175" s="6">
        <v>1</v>
      </c>
      <c r="C175" s="3" t="s">
        <v>103</v>
      </c>
      <c r="D175" s="14" t="s">
        <v>1</v>
      </c>
      <c r="E175" s="14" t="s">
        <v>256</v>
      </c>
      <c r="F175" s="14" t="s">
        <v>257</v>
      </c>
      <c r="G175" s="13" t="s">
        <v>258</v>
      </c>
      <c r="H175" s="14" t="s">
        <v>582</v>
      </c>
      <c r="I175" s="6" t="s">
        <v>3</v>
      </c>
      <c r="J175" s="3" t="s">
        <v>259</v>
      </c>
      <c r="K175" s="21">
        <v>39</v>
      </c>
      <c r="L175" s="24">
        <v>45288</v>
      </c>
    </row>
    <row r="176" spans="1:12" x14ac:dyDescent="0.25">
      <c r="A176" s="3" t="str">
        <f t="shared" si="7"/>
        <v>CPUSECRETAR</v>
      </c>
      <c r="B176" s="6">
        <v>1</v>
      </c>
      <c r="C176" s="3" t="s">
        <v>0</v>
      </c>
      <c r="D176" s="14" t="s">
        <v>1</v>
      </c>
      <c r="E176" s="14" t="s">
        <v>25</v>
      </c>
      <c r="F176" s="14" t="s">
        <v>85</v>
      </c>
      <c r="G176" s="13" t="s">
        <v>260</v>
      </c>
      <c r="H176" s="14" t="s">
        <v>582</v>
      </c>
      <c r="I176" s="6" t="s">
        <v>3</v>
      </c>
      <c r="J176" s="3" t="s">
        <v>262</v>
      </c>
      <c r="K176" s="21">
        <v>250</v>
      </c>
      <c r="L176" s="24">
        <v>45288</v>
      </c>
    </row>
    <row r="177" spans="1:12" x14ac:dyDescent="0.25">
      <c r="A177" s="3" t="str">
        <f t="shared" si="7"/>
        <v>MOUSSECRETAR</v>
      </c>
      <c r="B177" s="6">
        <v>1</v>
      </c>
      <c r="C177" s="3" t="s">
        <v>6</v>
      </c>
      <c r="D177" s="14" t="s">
        <v>261</v>
      </c>
      <c r="E177" s="14" t="s">
        <v>13</v>
      </c>
      <c r="F177" s="14" t="s">
        <v>85</v>
      </c>
      <c r="G177" s="13" t="s">
        <v>83</v>
      </c>
      <c r="H177" s="14" t="s">
        <v>582</v>
      </c>
      <c r="I177" s="6" t="s">
        <v>3</v>
      </c>
      <c r="J177" s="3" t="s">
        <v>543</v>
      </c>
      <c r="K177" s="21">
        <v>5</v>
      </c>
      <c r="L177" s="24">
        <v>45288</v>
      </c>
    </row>
    <row r="178" spans="1:12" x14ac:dyDescent="0.25">
      <c r="A178" s="3" t="str">
        <f t="shared" si="7"/>
        <v>TECLSECRETAR</v>
      </c>
      <c r="B178" s="6">
        <v>1</v>
      </c>
      <c r="C178" s="3" t="s">
        <v>11</v>
      </c>
      <c r="D178" s="14" t="s">
        <v>1</v>
      </c>
      <c r="E178" s="14" t="s">
        <v>25</v>
      </c>
      <c r="F178" s="14" t="s">
        <v>85</v>
      </c>
      <c r="G178" s="13" t="s">
        <v>263</v>
      </c>
      <c r="H178" s="14" t="s">
        <v>582</v>
      </c>
      <c r="I178" s="6" t="s">
        <v>3</v>
      </c>
      <c r="J178" s="3" t="s">
        <v>571</v>
      </c>
      <c r="K178" s="21">
        <v>17</v>
      </c>
      <c r="L178" s="24">
        <v>45288</v>
      </c>
    </row>
    <row r="179" spans="1:12" x14ac:dyDescent="0.25">
      <c r="A179" s="3" t="str">
        <f t="shared" si="7"/>
        <v>MONISECRETAR</v>
      </c>
      <c r="B179" s="6">
        <v>1</v>
      </c>
      <c r="C179" s="3" t="s">
        <v>4</v>
      </c>
      <c r="D179" s="14" t="s">
        <v>1</v>
      </c>
      <c r="E179" s="14" t="s">
        <v>264</v>
      </c>
      <c r="F179" s="14" t="s">
        <v>265</v>
      </c>
      <c r="G179" s="13" t="s">
        <v>54</v>
      </c>
      <c r="H179" s="14" t="s">
        <v>582</v>
      </c>
      <c r="I179" s="6" t="s">
        <v>3</v>
      </c>
      <c r="J179" s="3" t="s">
        <v>266</v>
      </c>
      <c r="K179" s="21">
        <v>60</v>
      </c>
      <c r="L179" s="24">
        <v>45288</v>
      </c>
    </row>
    <row r="180" spans="1:12" x14ac:dyDescent="0.25">
      <c r="A180" s="3" t="str">
        <f t="shared" si="7"/>
        <v>DISCSECRETAR</v>
      </c>
      <c r="B180" s="6">
        <v>1</v>
      </c>
      <c r="C180" s="3" t="s">
        <v>527</v>
      </c>
      <c r="D180" s="14" t="s">
        <v>440</v>
      </c>
      <c r="E180" s="14" t="s">
        <v>532</v>
      </c>
      <c r="F180" s="14" t="s">
        <v>533</v>
      </c>
      <c r="G180" s="13" t="s">
        <v>534</v>
      </c>
      <c r="H180" s="14" t="s">
        <v>582</v>
      </c>
      <c r="I180" s="6" t="s">
        <v>3</v>
      </c>
      <c r="J180" s="3" t="s">
        <v>535</v>
      </c>
      <c r="K180" s="21">
        <v>80</v>
      </c>
      <c r="L180" s="24">
        <v>44281</v>
      </c>
    </row>
    <row r="181" spans="1:12" x14ac:dyDescent="0.25">
      <c r="A181" s="3" t="str">
        <f t="shared" si="7"/>
        <v>ADAPSECRETAR</v>
      </c>
      <c r="B181" s="6">
        <v>1</v>
      </c>
      <c r="C181" s="3" t="s">
        <v>529</v>
      </c>
      <c r="D181" s="14" t="s">
        <v>9</v>
      </c>
      <c r="E181" s="14" t="s">
        <v>528</v>
      </c>
      <c r="F181" s="14" t="s">
        <v>530</v>
      </c>
      <c r="G181" s="13">
        <v>8152</v>
      </c>
      <c r="H181" s="14" t="s">
        <v>582</v>
      </c>
      <c r="I181" s="6" t="s">
        <v>3</v>
      </c>
      <c r="J181" s="3" t="s">
        <v>531</v>
      </c>
      <c r="K181" s="21">
        <v>10</v>
      </c>
      <c r="L181" s="24">
        <v>45288</v>
      </c>
    </row>
    <row r="182" spans="1:12" x14ac:dyDescent="0.25">
      <c r="A182" s="3" t="str">
        <f t="shared" si="7"/>
        <v>FLASSECRETAR</v>
      </c>
      <c r="B182" s="6">
        <v>1</v>
      </c>
      <c r="C182" s="3" t="s">
        <v>157</v>
      </c>
      <c r="D182" s="14" t="s">
        <v>158</v>
      </c>
      <c r="E182" s="14" t="s">
        <v>159</v>
      </c>
      <c r="F182" s="14" t="s">
        <v>85</v>
      </c>
      <c r="G182" s="13" t="s">
        <v>83</v>
      </c>
      <c r="H182" s="14" t="s">
        <v>582</v>
      </c>
      <c r="I182" s="6" t="s">
        <v>3</v>
      </c>
      <c r="J182" s="3" t="s">
        <v>587</v>
      </c>
      <c r="K182" s="21">
        <v>8</v>
      </c>
      <c r="L182" s="24">
        <v>45288</v>
      </c>
    </row>
    <row r="183" spans="1:12" x14ac:dyDescent="0.25">
      <c r="A183" s="3" t="str">
        <f t="shared" si="7"/>
        <v>GRABSECRETAR</v>
      </c>
      <c r="B183" s="6">
        <v>1</v>
      </c>
      <c r="C183" s="3" t="s">
        <v>536</v>
      </c>
      <c r="D183" s="14" t="s">
        <v>1</v>
      </c>
      <c r="E183" s="14" t="s">
        <v>537</v>
      </c>
      <c r="F183" s="14" t="s">
        <v>538</v>
      </c>
      <c r="G183" s="13">
        <v>1087329</v>
      </c>
      <c r="H183" s="14" t="s">
        <v>582</v>
      </c>
      <c r="I183" s="6" t="s">
        <v>3</v>
      </c>
      <c r="J183" s="3" t="s">
        <v>539</v>
      </c>
      <c r="K183" s="21">
        <v>25</v>
      </c>
      <c r="L183" s="24">
        <v>45288</v>
      </c>
    </row>
    <row r="184" spans="1:12" x14ac:dyDescent="0.25">
      <c r="A184" s="3" t="str">
        <f t="shared" si="7"/>
        <v>ADAPSECRETAR</v>
      </c>
      <c r="B184" s="6">
        <v>1</v>
      </c>
      <c r="C184" s="3" t="s">
        <v>529</v>
      </c>
      <c r="D184" s="14" t="s">
        <v>9</v>
      </c>
      <c r="E184" s="14" t="s">
        <v>528</v>
      </c>
      <c r="F184" s="14" t="s">
        <v>530</v>
      </c>
      <c r="G184" s="13">
        <v>8152</v>
      </c>
      <c r="H184" s="14" t="s">
        <v>582</v>
      </c>
      <c r="I184" s="6" t="s">
        <v>3</v>
      </c>
      <c r="J184" s="3" t="s">
        <v>531</v>
      </c>
      <c r="K184" s="21">
        <v>10</v>
      </c>
      <c r="L184" s="24">
        <v>45288</v>
      </c>
    </row>
    <row r="185" spans="1:12" x14ac:dyDescent="0.25">
      <c r="A185" s="3" t="str">
        <f t="shared" si="7"/>
        <v/>
      </c>
      <c r="B185" s="6"/>
      <c r="C185" s="3"/>
      <c r="D185" s="14"/>
      <c r="E185" s="14"/>
      <c r="F185" s="14"/>
      <c r="G185" s="13"/>
      <c r="H185" s="14"/>
      <c r="I185" s="6"/>
      <c r="J185" s="3"/>
      <c r="K185" s="21"/>
      <c r="L185" s="3"/>
    </row>
    <row r="186" spans="1:12" x14ac:dyDescent="0.25">
      <c r="A186" s="3" t="str">
        <f t="shared" si="7"/>
        <v/>
      </c>
      <c r="B186" s="6"/>
      <c r="C186" s="3"/>
      <c r="D186" s="14"/>
      <c r="E186" s="14"/>
      <c r="F186" s="14"/>
      <c r="G186" s="13"/>
      <c r="H186" s="14"/>
      <c r="I186" s="6"/>
      <c r="J186" s="3"/>
      <c r="K186" s="21"/>
      <c r="L186" s="3"/>
    </row>
    <row r="187" spans="1:12" x14ac:dyDescent="0.25">
      <c r="A187" s="3" t="str">
        <f t="shared" si="7"/>
        <v/>
      </c>
      <c r="B187" s="6"/>
      <c r="C187" s="3"/>
      <c r="D187" s="14"/>
      <c r="E187" s="14"/>
      <c r="F187" s="14"/>
      <c r="G187" s="13"/>
      <c r="H187" s="14"/>
      <c r="I187" s="6"/>
      <c r="J187" s="3"/>
      <c r="K187" s="21"/>
      <c r="L187" s="3"/>
    </row>
    <row r="188" spans="1:12" s="1" customFormat="1" x14ac:dyDescent="0.25">
      <c r="A188" s="9" t="s">
        <v>70</v>
      </c>
      <c r="B188" s="9" t="s">
        <v>69</v>
      </c>
      <c r="C188" s="9" t="s">
        <v>71</v>
      </c>
      <c r="D188" s="9" t="s">
        <v>63</v>
      </c>
      <c r="E188" s="9" t="s">
        <v>64</v>
      </c>
      <c r="F188" s="9" t="s">
        <v>65</v>
      </c>
      <c r="G188" s="10" t="s">
        <v>78</v>
      </c>
      <c r="H188" s="9" t="s">
        <v>66</v>
      </c>
      <c r="I188" s="9" t="s">
        <v>67</v>
      </c>
      <c r="J188" s="9" t="s">
        <v>72</v>
      </c>
      <c r="K188" s="22" t="s">
        <v>68</v>
      </c>
      <c r="L188" s="9" t="s">
        <v>584</v>
      </c>
    </row>
    <row r="189" spans="1:12" x14ac:dyDescent="0.25">
      <c r="A189" s="3" t="str">
        <f t="shared" si="7"/>
        <v xml:space="preserve">RELOPASILLO </v>
      </c>
      <c r="B189" s="6">
        <v>1</v>
      </c>
      <c r="C189" s="3" t="s">
        <v>48</v>
      </c>
      <c r="D189" s="14" t="s">
        <v>1</v>
      </c>
      <c r="E189" s="14" t="s">
        <v>563</v>
      </c>
      <c r="F189" s="14" t="s">
        <v>267</v>
      </c>
      <c r="G189" s="13" t="s">
        <v>268</v>
      </c>
      <c r="H189" s="14" t="s">
        <v>49</v>
      </c>
      <c r="I189" s="6" t="s">
        <v>3</v>
      </c>
      <c r="J189" s="3" t="s">
        <v>577</v>
      </c>
      <c r="K189" s="21">
        <v>250</v>
      </c>
      <c r="L189" s="24">
        <v>45245</v>
      </c>
    </row>
    <row r="190" spans="1:12" x14ac:dyDescent="0.25">
      <c r="A190" s="3" t="str">
        <f t="shared" si="7"/>
        <v xml:space="preserve">SENSPASILLO </v>
      </c>
      <c r="B190" s="6">
        <v>1</v>
      </c>
      <c r="C190" s="3" t="s">
        <v>19</v>
      </c>
      <c r="D190" s="14" t="s">
        <v>9</v>
      </c>
      <c r="E190" s="14" t="s">
        <v>94</v>
      </c>
      <c r="F190" s="14" t="s">
        <v>95</v>
      </c>
      <c r="G190" s="13">
        <v>88030080</v>
      </c>
      <c r="H190" s="14" t="s">
        <v>49</v>
      </c>
      <c r="I190" s="6" t="s">
        <v>3</v>
      </c>
      <c r="J190" s="3" t="s">
        <v>96</v>
      </c>
      <c r="K190" s="21">
        <v>20</v>
      </c>
      <c r="L190" s="24">
        <v>44841</v>
      </c>
    </row>
    <row r="191" spans="1:12" x14ac:dyDescent="0.25">
      <c r="A191" s="3" t="str">
        <f t="shared" si="7"/>
        <v xml:space="preserve">LÁMPPASILLO </v>
      </c>
      <c r="B191" s="6">
        <v>1</v>
      </c>
      <c r="C191" s="3" t="s">
        <v>565</v>
      </c>
      <c r="D191" s="14" t="s">
        <v>9</v>
      </c>
      <c r="E191" s="14" t="s">
        <v>566</v>
      </c>
      <c r="F191" s="14" t="s">
        <v>85</v>
      </c>
      <c r="G191" s="13" t="s">
        <v>83</v>
      </c>
      <c r="H191" s="14" t="s">
        <v>49</v>
      </c>
      <c r="I191" s="6" t="s">
        <v>3</v>
      </c>
      <c r="J191" s="3" t="s">
        <v>567</v>
      </c>
      <c r="K191" s="21">
        <v>25</v>
      </c>
      <c r="L191" s="24">
        <v>44292</v>
      </c>
    </row>
    <row r="192" spans="1:12" x14ac:dyDescent="0.25">
      <c r="A192" s="3" t="str">
        <f t="shared" si="7"/>
        <v xml:space="preserve">MODEPASILLO </v>
      </c>
      <c r="B192" s="6">
        <v>1</v>
      </c>
      <c r="C192" s="3" t="s">
        <v>137</v>
      </c>
      <c r="D192" s="14" t="s">
        <v>1</v>
      </c>
      <c r="E192" s="14" t="s">
        <v>138</v>
      </c>
      <c r="F192" s="14" t="s">
        <v>269</v>
      </c>
      <c r="G192" s="13" t="s">
        <v>270</v>
      </c>
      <c r="H192" s="14" t="s">
        <v>49</v>
      </c>
      <c r="I192" s="6" t="s">
        <v>3</v>
      </c>
      <c r="J192" s="3" t="s">
        <v>271</v>
      </c>
      <c r="K192" s="21">
        <v>65</v>
      </c>
      <c r="L192" s="24">
        <v>44292</v>
      </c>
    </row>
    <row r="193" spans="1:12" x14ac:dyDescent="0.25">
      <c r="A193" s="3" t="str">
        <f t="shared" si="7"/>
        <v xml:space="preserve">COPIPASILLO </v>
      </c>
      <c r="B193" s="6">
        <v>1</v>
      </c>
      <c r="C193" s="3" t="s">
        <v>52</v>
      </c>
      <c r="D193" s="14" t="s">
        <v>9</v>
      </c>
      <c r="E193" s="14" t="s">
        <v>272</v>
      </c>
      <c r="F193" s="14" t="s">
        <v>273</v>
      </c>
      <c r="G193" s="13" t="s">
        <v>274</v>
      </c>
      <c r="H193" s="14" t="s">
        <v>49</v>
      </c>
      <c r="I193" s="6" t="s">
        <v>3</v>
      </c>
      <c r="J193" s="3" t="s">
        <v>275</v>
      </c>
      <c r="K193" s="23">
        <v>3160.32</v>
      </c>
      <c r="L193" s="24">
        <v>45202</v>
      </c>
    </row>
    <row r="194" spans="1:12" x14ac:dyDescent="0.25">
      <c r="A194" s="3" t="str">
        <f t="shared" si="7"/>
        <v/>
      </c>
      <c r="B194" s="6"/>
      <c r="C194" s="3"/>
      <c r="D194" s="14"/>
      <c r="E194" s="14"/>
      <c r="F194" s="14"/>
      <c r="G194" s="13"/>
      <c r="H194" s="14"/>
      <c r="I194" s="6"/>
      <c r="J194" s="3"/>
      <c r="K194" s="21"/>
      <c r="L194" s="3"/>
    </row>
    <row r="195" spans="1:12" x14ac:dyDescent="0.25">
      <c r="A195" s="3" t="str">
        <f t="shared" si="7"/>
        <v/>
      </c>
      <c r="B195" s="6"/>
      <c r="C195" s="3"/>
      <c r="D195" s="14"/>
      <c r="E195" s="14"/>
      <c r="F195" s="14"/>
      <c r="G195" s="13"/>
      <c r="H195" s="14"/>
      <c r="I195" s="6"/>
      <c r="J195" s="3"/>
      <c r="K195" s="21"/>
      <c r="L195" s="3"/>
    </row>
    <row r="196" spans="1:12" x14ac:dyDescent="0.25">
      <c r="A196" s="3" t="str">
        <f t="shared" si="7"/>
        <v/>
      </c>
      <c r="B196" s="6"/>
      <c r="C196" s="3"/>
      <c r="D196" s="14"/>
      <c r="E196" s="14"/>
      <c r="F196" s="14"/>
      <c r="G196" s="13"/>
      <c r="H196" s="14"/>
      <c r="I196" s="6"/>
      <c r="J196" s="3"/>
      <c r="K196" s="21"/>
      <c r="L196" s="3"/>
    </row>
    <row r="197" spans="1:12" s="1" customFormat="1" x14ac:dyDescent="0.25">
      <c r="A197" s="9" t="s">
        <v>70</v>
      </c>
      <c r="B197" s="9" t="s">
        <v>69</v>
      </c>
      <c r="C197" s="9" t="s">
        <v>71</v>
      </c>
      <c r="D197" s="9" t="s">
        <v>63</v>
      </c>
      <c r="E197" s="9" t="s">
        <v>64</v>
      </c>
      <c r="F197" s="9" t="s">
        <v>65</v>
      </c>
      <c r="G197" s="10" t="s">
        <v>78</v>
      </c>
      <c r="H197" s="9" t="s">
        <v>66</v>
      </c>
      <c r="I197" s="9" t="s">
        <v>67</v>
      </c>
      <c r="J197" s="9" t="s">
        <v>72</v>
      </c>
      <c r="K197" s="22" t="s">
        <v>68</v>
      </c>
      <c r="L197" s="9" t="s">
        <v>584</v>
      </c>
    </row>
    <row r="198" spans="1:12" x14ac:dyDescent="0.25">
      <c r="A198" s="3" t="str">
        <f t="shared" si="7"/>
        <v xml:space="preserve">LÁMPPASILLO </v>
      </c>
      <c r="B198" s="6">
        <v>1</v>
      </c>
      <c r="C198" s="3" t="s">
        <v>565</v>
      </c>
      <c r="D198" s="14" t="s">
        <v>9</v>
      </c>
      <c r="E198" s="14" t="s">
        <v>566</v>
      </c>
      <c r="F198" s="14" t="s">
        <v>85</v>
      </c>
      <c r="G198" s="13" t="s">
        <v>83</v>
      </c>
      <c r="H198" s="14" t="s">
        <v>276</v>
      </c>
      <c r="I198" s="6" t="s">
        <v>3</v>
      </c>
      <c r="J198" s="3" t="s">
        <v>567</v>
      </c>
      <c r="K198" s="21">
        <v>25</v>
      </c>
      <c r="L198" s="24">
        <v>44292</v>
      </c>
    </row>
    <row r="199" spans="1:12" x14ac:dyDescent="0.25">
      <c r="A199" s="3" t="str">
        <f t="shared" si="7"/>
        <v xml:space="preserve">CAMAPASILLO </v>
      </c>
      <c r="B199" s="6">
        <v>1</v>
      </c>
      <c r="C199" s="3" t="s">
        <v>92</v>
      </c>
      <c r="D199" s="14" t="s">
        <v>9</v>
      </c>
      <c r="E199" s="14" t="s">
        <v>53</v>
      </c>
      <c r="F199" s="14" t="s">
        <v>85</v>
      </c>
      <c r="G199" s="13" t="s">
        <v>83</v>
      </c>
      <c r="H199" s="14" t="s">
        <v>276</v>
      </c>
      <c r="I199" s="6" t="s">
        <v>3</v>
      </c>
      <c r="J199" s="3" t="s">
        <v>93</v>
      </c>
      <c r="K199" s="21">
        <v>25</v>
      </c>
      <c r="L199" s="24">
        <v>44841</v>
      </c>
    </row>
    <row r="200" spans="1:12" x14ac:dyDescent="0.25">
      <c r="A200" s="3" t="str">
        <f t="shared" si="7"/>
        <v xml:space="preserve">ALARPASILLO </v>
      </c>
      <c r="B200" s="6">
        <v>1</v>
      </c>
      <c r="C200" s="3" t="s">
        <v>277</v>
      </c>
      <c r="D200" s="14" t="s">
        <v>278</v>
      </c>
      <c r="E200" s="14" t="s">
        <v>85</v>
      </c>
      <c r="F200" s="14" t="s">
        <v>85</v>
      </c>
      <c r="G200" s="13" t="s">
        <v>83</v>
      </c>
      <c r="H200" s="14" t="s">
        <v>276</v>
      </c>
      <c r="I200" s="6" t="s">
        <v>3</v>
      </c>
      <c r="J200" s="3" t="s">
        <v>279</v>
      </c>
      <c r="K200" s="21">
        <v>40</v>
      </c>
      <c r="L200" s="24">
        <v>44841</v>
      </c>
    </row>
    <row r="201" spans="1:12" x14ac:dyDescent="0.25">
      <c r="A201" s="3" t="str">
        <f t="shared" si="7"/>
        <v/>
      </c>
      <c r="B201" s="6"/>
      <c r="C201" s="3"/>
      <c r="D201" s="14"/>
      <c r="E201" s="14"/>
      <c r="F201" s="14"/>
      <c r="G201" s="13"/>
      <c r="H201" s="14"/>
      <c r="I201" s="6"/>
      <c r="J201" s="3"/>
      <c r="K201" s="21"/>
      <c r="L201" s="3"/>
    </row>
    <row r="202" spans="1:12" x14ac:dyDescent="0.25">
      <c r="A202" s="3" t="str">
        <f t="shared" si="7"/>
        <v/>
      </c>
      <c r="B202" s="6"/>
      <c r="C202" s="3"/>
      <c r="D202" s="14"/>
      <c r="E202" s="14"/>
      <c r="F202" s="14"/>
      <c r="G202" s="13"/>
      <c r="H202" s="14"/>
      <c r="I202" s="6"/>
      <c r="J202" s="3"/>
      <c r="K202" s="21"/>
      <c r="L202" s="3"/>
    </row>
    <row r="203" spans="1:12" x14ac:dyDescent="0.25">
      <c r="A203" s="3" t="str">
        <f t="shared" si="7"/>
        <v/>
      </c>
      <c r="B203" s="6"/>
      <c r="C203" s="3"/>
      <c r="D203" s="14"/>
      <c r="E203" s="14"/>
      <c r="F203" s="14"/>
      <c r="G203" s="13"/>
      <c r="H203" s="14"/>
      <c r="I203" s="6"/>
      <c r="J203" s="3"/>
      <c r="K203" s="21"/>
      <c r="L203" s="3"/>
    </row>
    <row r="204" spans="1:12" s="1" customFormat="1" x14ac:dyDescent="0.25">
      <c r="A204" s="9" t="s">
        <v>70</v>
      </c>
      <c r="B204" s="9" t="s">
        <v>69</v>
      </c>
      <c r="C204" s="9" t="s">
        <v>71</v>
      </c>
      <c r="D204" s="9" t="s">
        <v>63</v>
      </c>
      <c r="E204" s="9" t="s">
        <v>64</v>
      </c>
      <c r="F204" s="9" t="s">
        <v>65</v>
      </c>
      <c r="G204" s="10" t="s">
        <v>78</v>
      </c>
      <c r="H204" s="9" t="s">
        <v>66</v>
      </c>
      <c r="I204" s="9" t="s">
        <v>67</v>
      </c>
      <c r="J204" s="9" t="s">
        <v>72</v>
      </c>
      <c r="K204" s="22" t="s">
        <v>68</v>
      </c>
      <c r="L204" s="9" t="s">
        <v>584</v>
      </c>
    </row>
    <row r="205" spans="1:12" x14ac:dyDescent="0.25">
      <c r="A205" s="3" t="str">
        <f t="shared" si="7"/>
        <v>CONTBODEGA S</v>
      </c>
      <c r="B205" s="6">
        <v>1</v>
      </c>
      <c r="C205" s="3" t="s">
        <v>280</v>
      </c>
      <c r="D205" s="14" t="s">
        <v>9</v>
      </c>
      <c r="E205" s="14" t="s">
        <v>85</v>
      </c>
      <c r="F205" s="14" t="s">
        <v>85</v>
      </c>
      <c r="G205" s="13" t="s">
        <v>83</v>
      </c>
      <c r="H205" s="14" t="s">
        <v>391</v>
      </c>
      <c r="I205" s="6" t="s">
        <v>3</v>
      </c>
      <c r="J205" s="3" t="s">
        <v>281</v>
      </c>
      <c r="K205" s="21">
        <v>200</v>
      </c>
      <c r="L205" s="24">
        <v>44292</v>
      </c>
    </row>
    <row r="206" spans="1:12" x14ac:dyDescent="0.25">
      <c r="A206" s="3" t="str">
        <f t="shared" si="7"/>
        <v/>
      </c>
      <c r="B206" s="6"/>
      <c r="C206" s="3"/>
      <c r="D206" s="14"/>
      <c r="E206" s="14"/>
      <c r="F206" s="14"/>
      <c r="G206" s="13"/>
      <c r="H206" s="14"/>
      <c r="I206" s="6"/>
      <c r="J206" s="3"/>
      <c r="K206" s="21"/>
      <c r="L206" s="3"/>
    </row>
    <row r="207" spans="1:12" x14ac:dyDescent="0.25">
      <c r="A207" s="3" t="str">
        <f t="shared" si="7"/>
        <v/>
      </c>
      <c r="B207" s="6"/>
      <c r="C207" s="3"/>
      <c r="D207" s="14"/>
      <c r="E207" s="14"/>
      <c r="F207" s="14"/>
      <c r="G207" s="13"/>
      <c r="H207" s="14"/>
      <c r="I207" s="6"/>
      <c r="J207" s="3"/>
      <c r="K207" s="21"/>
      <c r="L207" s="3"/>
    </row>
    <row r="208" spans="1:12" x14ac:dyDescent="0.25">
      <c r="A208" s="3" t="str">
        <f t="shared" si="7"/>
        <v/>
      </c>
      <c r="B208" s="6"/>
      <c r="C208" s="3"/>
      <c r="D208" s="14"/>
      <c r="E208" s="14"/>
      <c r="F208" s="14"/>
      <c r="G208" s="13"/>
      <c r="H208" s="14"/>
      <c r="I208" s="6"/>
      <c r="J208" s="3"/>
      <c r="K208" s="21"/>
      <c r="L208" s="3"/>
    </row>
    <row r="209" spans="1:12" s="1" customFormat="1" x14ac:dyDescent="0.25">
      <c r="A209" s="9" t="s">
        <v>70</v>
      </c>
      <c r="B209" s="9" t="s">
        <v>69</v>
      </c>
      <c r="C209" s="9" t="s">
        <v>71</v>
      </c>
      <c r="D209" s="9" t="s">
        <v>63</v>
      </c>
      <c r="E209" s="9" t="s">
        <v>64</v>
      </c>
      <c r="F209" s="9" t="s">
        <v>65</v>
      </c>
      <c r="G209" s="10" t="s">
        <v>78</v>
      </c>
      <c r="H209" s="9" t="s">
        <v>66</v>
      </c>
      <c r="I209" s="9" t="s">
        <v>67</v>
      </c>
      <c r="J209" s="9" t="s">
        <v>72</v>
      </c>
      <c r="K209" s="22" t="s">
        <v>68</v>
      </c>
      <c r="L209" s="9" t="s">
        <v>584</v>
      </c>
    </row>
    <row r="210" spans="1:12" x14ac:dyDescent="0.25">
      <c r="A210" s="3" t="str">
        <f t="shared" si="7"/>
        <v>COMPINSPECCI</v>
      </c>
      <c r="B210" s="6">
        <v>1</v>
      </c>
      <c r="C210" s="3" t="s">
        <v>227</v>
      </c>
      <c r="D210" s="14" t="s">
        <v>39</v>
      </c>
      <c r="E210" s="14" t="s">
        <v>57</v>
      </c>
      <c r="F210" s="14" t="s">
        <v>147</v>
      </c>
      <c r="G210" s="13">
        <v>26449622139</v>
      </c>
      <c r="H210" s="14" t="s">
        <v>59</v>
      </c>
      <c r="I210" s="6" t="s">
        <v>3</v>
      </c>
      <c r="J210" s="3" t="s">
        <v>510</v>
      </c>
      <c r="K210" s="21">
        <v>400</v>
      </c>
      <c r="L210" s="24">
        <v>45470</v>
      </c>
    </row>
    <row r="211" spans="1:12" x14ac:dyDescent="0.25">
      <c r="A211" s="3" t="str">
        <f t="shared" si="7"/>
        <v>BASEINSPECCI</v>
      </c>
      <c r="B211" s="6">
        <v>1</v>
      </c>
      <c r="C211" s="3" t="s">
        <v>148</v>
      </c>
      <c r="D211" s="14" t="s">
        <v>1</v>
      </c>
      <c r="E211" s="14" t="s">
        <v>149</v>
      </c>
      <c r="F211" s="14" t="s">
        <v>150</v>
      </c>
      <c r="G211" s="13" t="s">
        <v>151</v>
      </c>
      <c r="H211" s="14" t="s">
        <v>59</v>
      </c>
      <c r="I211" s="6" t="s">
        <v>3</v>
      </c>
      <c r="J211" s="3" t="s">
        <v>152</v>
      </c>
      <c r="K211" s="21">
        <v>20</v>
      </c>
      <c r="L211" s="24">
        <v>44841</v>
      </c>
    </row>
    <row r="212" spans="1:12" x14ac:dyDescent="0.25">
      <c r="A212" s="3" t="str">
        <f t="shared" si="7"/>
        <v>IMPRINSPECCI</v>
      </c>
      <c r="B212" s="6">
        <v>1</v>
      </c>
      <c r="C212" s="3" t="s">
        <v>153</v>
      </c>
      <c r="D212" s="14" t="s">
        <v>1</v>
      </c>
      <c r="E212" s="14" t="s">
        <v>46</v>
      </c>
      <c r="F212" s="14" t="s">
        <v>154</v>
      </c>
      <c r="G212" s="13" t="s">
        <v>155</v>
      </c>
      <c r="H212" s="14" t="s">
        <v>59</v>
      </c>
      <c r="I212" s="6" t="s">
        <v>3</v>
      </c>
      <c r="J212" s="3" t="s">
        <v>156</v>
      </c>
      <c r="K212" s="21">
        <v>185</v>
      </c>
      <c r="L212" s="24">
        <v>45296</v>
      </c>
    </row>
    <row r="213" spans="1:12" x14ac:dyDescent="0.25">
      <c r="A213" s="3" t="str">
        <f t="shared" si="7"/>
        <v>FLASINSPECCI</v>
      </c>
      <c r="B213" s="6">
        <v>1</v>
      </c>
      <c r="C213" s="3" t="s">
        <v>157</v>
      </c>
      <c r="D213" s="14" t="s">
        <v>158</v>
      </c>
      <c r="E213" s="14" t="s">
        <v>159</v>
      </c>
      <c r="F213" s="14" t="s">
        <v>85</v>
      </c>
      <c r="G213" s="13" t="s">
        <v>83</v>
      </c>
      <c r="H213" s="14" t="s">
        <v>59</v>
      </c>
      <c r="I213" s="6" t="s">
        <v>3</v>
      </c>
      <c r="J213" s="3" t="s">
        <v>587</v>
      </c>
      <c r="K213" s="21">
        <v>8</v>
      </c>
      <c r="L213" s="24">
        <v>45296</v>
      </c>
    </row>
    <row r="214" spans="1:12" x14ac:dyDescent="0.25">
      <c r="A214" s="3" t="str">
        <f t="shared" si="7"/>
        <v>SWITINSPECCI</v>
      </c>
      <c r="B214" s="6">
        <v>1</v>
      </c>
      <c r="C214" s="3" t="s">
        <v>103</v>
      </c>
      <c r="D214" s="14" t="s">
        <v>104</v>
      </c>
      <c r="E214" s="14" t="s">
        <v>81</v>
      </c>
      <c r="F214" s="14" t="s">
        <v>85</v>
      </c>
      <c r="G214" s="13" t="s">
        <v>83</v>
      </c>
      <c r="H214" s="14" t="s">
        <v>59</v>
      </c>
      <c r="I214" s="6" t="s">
        <v>3</v>
      </c>
      <c r="J214" s="3" t="s">
        <v>569</v>
      </c>
      <c r="K214" s="21">
        <v>22</v>
      </c>
      <c r="L214" s="24">
        <v>45288</v>
      </c>
    </row>
    <row r="215" spans="1:12" x14ac:dyDescent="0.25">
      <c r="A215" s="3" t="str">
        <f t="shared" si="7"/>
        <v>MOUSINSPECCI</v>
      </c>
      <c r="B215" s="6">
        <v>1</v>
      </c>
      <c r="C215" s="3" t="s">
        <v>6</v>
      </c>
      <c r="D215" s="14" t="s">
        <v>109</v>
      </c>
      <c r="E215" s="14" t="s">
        <v>18</v>
      </c>
      <c r="F215" s="14" t="s">
        <v>85</v>
      </c>
      <c r="G215" s="13" t="s">
        <v>83</v>
      </c>
      <c r="H215" s="14" t="s">
        <v>59</v>
      </c>
      <c r="I215" s="6" t="s">
        <v>3</v>
      </c>
      <c r="J215" s="3" t="s">
        <v>541</v>
      </c>
      <c r="K215" s="21">
        <v>5</v>
      </c>
      <c r="L215" s="24">
        <v>45288</v>
      </c>
    </row>
    <row r="216" spans="1:12" x14ac:dyDescent="0.25">
      <c r="A216" s="3" t="str">
        <f t="shared" si="7"/>
        <v/>
      </c>
      <c r="B216" s="6"/>
      <c r="C216" s="3"/>
      <c r="D216" s="14"/>
      <c r="E216" s="14"/>
      <c r="F216" s="14"/>
      <c r="G216" s="13"/>
      <c r="H216" s="14"/>
      <c r="I216" s="6"/>
      <c r="J216" s="3"/>
      <c r="K216" s="21"/>
      <c r="L216" s="3"/>
    </row>
    <row r="217" spans="1:12" x14ac:dyDescent="0.25">
      <c r="A217" s="3" t="str">
        <f t="shared" si="7"/>
        <v/>
      </c>
      <c r="B217" s="6"/>
      <c r="C217" s="3"/>
      <c r="D217" s="14"/>
      <c r="E217" s="14"/>
      <c r="F217" s="14"/>
      <c r="G217" s="13"/>
      <c r="H217" s="14"/>
      <c r="I217" s="6"/>
      <c r="J217" s="3"/>
      <c r="K217" s="21"/>
      <c r="L217" s="3"/>
    </row>
    <row r="218" spans="1:12" x14ac:dyDescent="0.25">
      <c r="A218" s="3" t="str">
        <f t="shared" si="7"/>
        <v/>
      </c>
      <c r="B218" s="6"/>
      <c r="C218" s="3"/>
      <c r="D218" s="6"/>
      <c r="E218" s="6"/>
      <c r="F218" s="6"/>
      <c r="G218" s="7"/>
      <c r="H218" s="6"/>
      <c r="I218" s="6"/>
      <c r="J218" s="3"/>
      <c r="K218" s="21"/>
      <c r="L218" s="3"/>
    </row>
    <row r="219" spans="1:12" s="1" customFormat="1" x14ac:dyDescent="0.25">
      <c r="A219" s="9" t="s">
        <v>70</v>
      </c>
      <c r="B219" s="9" t="s">
        <v>69</v>
      </c>
      <c r="C219" s="9" t="s">
        <v>71</v>
      </c>
      <c r="D219" s="9" t="s">
        <v>63</v>
      </c>
      <c r="E219" s="9" t="s">
        <v>64</v>
      </c>
      <c r="F219" s="9" t="s">
        <v>65</v>
      </c>
      <c r="G219" s="10" t="s">
        <v>78</v>
      </c>
      <c r="H219" s="9" t="s">
        <v>66</v>
      </c>
      <c r="I219" s="9" t="s">
        <v>67</v>
      </c>
      <c r="J219" s="9" t="s">
        <v>72</v>
      </c>
      <c r="K219" s="22" t="s">
        <v>68</v>
      </c>
      <c r="L219" s="9" t="s">
        <v>584</v>
      </c>
    </row>
    <row r="220" spans="1:12" x14ac:dyDescent="0.25">
      <c r="A220" s="3" t="str">
        <f t="shared" si="7"/>
        <v>REGUSECRETAR</v>
      </c>
      <c r="B220" s="6">
        <v>1</v>
      </c>
      <c r="C220" s="3" t="s">
        <v>8</v>
      </c>
      <c r="D220" s="14" t="s">
        <v>1</v>
      </c>
      <c r="E220" s="14" t="s">
        <v>18</v>
      </c>
      <c r="F220" s="14" t="s">
        <v>282</v>
      </c>
      <c r="G220" s="13" t="s">
        <v>283</v>
      </c>
      <c r="H220" s="14" t="s">
        <v>51</v>
      </c>
      <c r="I220" s="6" t="s">
        <v>3</v>
      </c>
      <c r="J220" s="3" t="s">
        <v>559</v>
      </c>
      <c r="K220" s="21">
        <v>17</v>
      </c>
      <c r="L220" s="24">
        <v>44292</v>
      </c>
    </row>
    <row r="221" spans="1:12" x14ac:dyDescent="0.25">
      <c r="A221" s="3" t="str">
        <f t="shared" si="7"/>
        <v>BASESECRETAR</v>
      </c>
      <c r="B221" s="6">
        <v>1</v>
      </c>
      <c r="C221" s="3" t="s">
        <v>148</v>
      </c>
      <c r="D221" s="14" t="s">
        <v>1</v>
      </c>
      <c r="E221" s="14" t="s">
        <v>149</v>
      </c>
      <c r="F221" s="14" t="s">
        <v>150</v>
      </c>
      <c r="G221" s="13" t="s">
        <v>151</v>
      </c>
      <c r="H221" s="14" t="s">
        <v>51</v>
      </c>
      <c r="I221" s="6" t="s">
        <v>3</v>
      </c>
      <c r="J221" s="3" t="s">
        <v>152</v>
      </c>
      <c r="K221" s="21">
        <v>20</v>
      </c>
      <c r="L221" s="24">
        <v>44841</v>
      </c>
    </row>
    <row r="222" spans="1:12" x14ac:dyDescent="0.25">
      <c r="A222" s="3" t="str">
        <f t="shared" si="7"/>
        <v>IMPRSECRETAR</v>
      </c>
      <c r="B222" s="6">
        <v>1</v>
      </c>
      <c r="C222" s="3" t="s">
        <v>153</v>
      </c>
      <c r="D222" s="14" t="s">
        <v>1</v>
      </c>
      <c r="E222" s="14" t="s">
        <v>46</v>
      </c>
      <c r="F222" s="14" t="s">
        <v>154</v>
      </c>
      <c r="G222" s="13" t="s">
        <v>284</v>
      </c>
      <c r="H222" s="14" t="s">
        <v>51</v>
      </c>
      <c r="I222" s="6" t="s">
        <v>3</v>
      </c>
      <c r="J222" s="3" t="s">
        <v>234</v>
      </c>
      <c r="K222" s="21">
        <v>185</v>
      </c>
      <c r="L222" s="24">
        <v>44375</v>
      </c>
    </row>
    <row r="223" spans="1:12" x14ac:dyDescent="0.25">
      <c r="A223" s="3" t="str">
        <f t="shared" si="7"/>
        <v>DISCSECRETAR</v>
      </c>
      <c r="B223" s="6">
        <v>2</v>
      </c>
      <c r="C223" s="3" t="s">
        <v>527</v>
      </c>
      <c r="D223" s="14" t="s">
        <v>62</v>
      </c>
      <c r="E223" s="14" t="s">
        <v>57</v>
      </c>
      <c r="F223" s="14" t="s">
        <v>285</v>
      </c>
      <c r="G223" s="13" t="s">
        <v>286</v>
      </c>
      <c r="H223" s="14" t="s">
        <v>51</v>
      </c>
      <c r="I223" s="6" t="s">
        <v>3</v>
      </c>
      <c r="J223" s="3" t="s">
        <v>287</v>
      </c>
      <c r="K223" s="21">
        <v>100</v>
      </c>
      <c r="L223" s="24">
        <v>44616</v>
      </c>
    </row>
    <row r="224" spans="1:12" x14ac:dyDescent="0.25">
      <c r="A224" s="3" t="str">
        <f t="shared" si="7"/>
        <v>CORTSECRETAR</v>
      </c>
      <c r="B224" s="6">
        <v>1</v>
      </c>
      <c r="C224" s="3" t="s">
        <v>553</v>
      </c>
      <c r="D224" s="14" t="s">
        <v>288</v>
      </c>
      <c r="E224" s="14" t="s">
        <v>289</v>
      </c>
      <c r="F224" s="14" t="s">
        <v>290</v>
      </c>
      <c r="G224" s="13" t="s">
        <v>83</v>
      </c>
      <c r="H224" s="14" t="s">
        <v>51</v>
      </c>
      <c r="I224" s="6" t="s">
        <v>3</v>
      </c>
      <c r="J224" s="3" t="s">
        <v>291</v>
      </c>
      <c r="K224" s="21">
        <v>10</v>
      </c>
      <c r="L224" s="24">
        <v>44292</v>
      </c>
    </row>
    <row r="225" spans="1:13" x14ac:dyDescent="0.25">
      <c r="A225" s="3" t="str">
        <f t="shared" si="7"/>
        <v>REGUSECRETAR</v>
      </c>
      <c r="B225" s="6">
        <v>1</v>
      </c>
      <c r="C225" s="3" t="s">
        <v>8</v>
      </c>
      <c r="D225" s="14" t="s">
        <v>1</v>
      </c>
      <c r="E225" s="14" t="s">
        <v>47</v>
      </c>
      <c r="F225" s="14" t="s">
        <v>292</v>
      </c>
      <c r="G225" s="13">
        <v>92900971</v>
      </c>
      <c r="H225" s="14" t="s">
        <v>51</v>
      </c>
      <c r="I225" s="6" t="s">
        <v>3</v>
      </c>
      <c r="J225" s="3" t="s">
        <v>560</v>
      </c>
      <c r="K225" s="21">
        <v>17</v>
      </c>
      <c r="L225" s="24">
        <v>44292</v>
      </c>
    </row>
    <row r="226" spans="1:13" x14ac:dyDescent="0.25">
      <c r="A226" s="3" t="str">
        <f t="shared" si="7"/>
        <v>TVBOSECRETAR</v>
      </c>
      <c r="B226" s="6">
        <v>1</v>
      </c>
      <c r="C226" s="3" t="s">
        <v>293</v>
      </c>
      <c r="D226" s="14" t="s">
        <v>1</v>
      </c>
      <c r="E226" s="14" t="s">
        <v>293</v>
      </c>
      <c r="F226" s="14" t="s">
        <v>294</v>
      </c>
      <c r="G226" s="13" t="s">
        <v>295</v>
      </c>
      <c r="H226" s="14" t="s">
        <v>51</v>
      </c>
      <c r="I226" s="6" t="s">
        <v>3</v>
      </c>
      <c r="J226" s="3" t="s">
        <v>574</v>
      </c>
      <c r="K226" s="21">
        <v>70</v>
      </c>
      <c r="L226" s="24">
        <v>45426</v>
      </c>
    </row>
    <row r="227" spans="1:13" x14ac:dyDescent="0.25">
      <c r="A227" s="3" t="str">
        <f t="shared" si="7"/>
        <v>TELESECRETAR</v>
      </c>
      <c r="B227" s="6">
        <v>1</v>
      </c>
      <c r="C227" s="3" t="s">
        <v>296</v>
      </c>
      <c r="D227" s="14" t="s">
        <v>62</v>
      </c>
      <c r="E227" s="14" t="s">
        <v>5</v>
      </c>
      <c r="F227" s="14" t="s">
        <v>297</v>
      </c>
      <c r="G227" s="13" t="s">
        <v>298</v>
      </c>
      <c r="H227" s="14" t="s">
        <v>51</v>
      </c>
      <c r="I227" s="6" t="s">
        <v>3</v>
      </c>
      <c r="J227" s="3" t="s">
        <v>585</v>
      </c>
      <c r="K227" s="23">
        <v>1800</v>
      </c>
      <c r="L227" s="24">
        <v>44873</v>
      </c>
    </row>
    <row r="228" spans="1:13" x14ac:dyDescent="0.25">
      <c r="A228" s="3" t="str">
        <f t="shared" si="7"/>
        <v>CONTSECRETAR</v>
      </c>
      <c r="B228" s="6">
        <v>1</v>
      </c>
      <c r="C228" s="3" t="s">
        <v>299</v>
      </c>
      <c r="D228" s="14" t="s">
        <v>1</v>
      </c>
      <c r="E228" s="14" t="s">
        <v>5</v>
      </c>
      <c r="F228" s="14" t="s">
        <v>85</v>
      </c>
      <c r="G228" s="13" t="s">
        <v>83</v>
      </c>
      <c r="H228" s="14" t="s">
        <v>51</v>
      </c>
      <c r="I228" s="6" t="s">
        <v>3</v>
      </c>
      <c r="J228" s="3" t="s">
        <v>300</v>
      </c>
      <c r="K228" s="21">
        <v>16</v>
      </c>
      <c r="L228" s="24">
        <v>45471</v>
      </c>
    </row>
    <row r="229" spans="1:13" x14ac:dyDescent="0.25">
      <c r="A229" s="3" t="str">
        <f t="shared" si="7"/>
        <v>CONTSECRETAR</v>
      </c>
      <c r="B229" s="6">
        <v>1</v>
      </c>
      <c r="C229" s="3" t="s">
        <v>299</v>
      </c>
      <c r="D229" s="14" t="s">
        <v>1</v>
      </c>
      <c r="E229" s="14" t="s">
        <v>293</v>
      </c>
      <c r="F229" s="14" t="s">
        <v>85</v>
      </c>
      <c r="G229" s="13" t="s">
        <v>83</v>
      </c>
      <c r="H229" s="14" t="s">
        <v>51</v>
      </c>
      <c r="I229" s="6" t="s">
        <v>3</v>
      </c>
      <c r="J229" s="3" t="s">
        <v>301</v>
      </c>
      <c r="K229" s="21">
        <v>10</v>
      </c>
      <c r="L229" s="24">
        <v>45426</v>
      </c>
    </row>
    <row r="230" spans="1:13" x14ac:dyDescent="0.25">
      <c r="A230" s="3" t="str">
        <f t="shared" si="7"/>
        <v>SENSSECRETAR</v>
      </c>
      <c r="B230" s="6">
        <v>1</v>
      </c>
      <c r="C230" s="3" t="s">
        <v>19</v>
      </c>
      <c r="D230" s="14" t="s">
        <v>9</v>
      </c>
      <c r="E230" s="14" t="s">
        <v>94</v>
      </c>
      <c r="F230" s="14" t="s">
        <v>95</v>
      </c>
      <c r="G230" s="13">
        <v>88030080</v>
      </c>
      <c r="H230" s="14" t="s">
        <v>51</v>
      </c>
      <c r="I230" s="6" t="s">
        <v>3</v>
      </c>
      <c r="J230" s="3" t="s">
        <v>96</v>
      </c>
      <c r="K230" s="21">
        <v>20</v>
      </c>
      <c r="L230" s="24">
        <v>44841</v>
      </c>
      <c r="M230" s="27"/>
    </row>
    <row r="231" spans="1:13" x14ac:dyDescent="0.25">
      <c r="A231" s="3" t="str">
        <f t="shared" si="7"/>
        <v/>
      </c>
      <c r="B231" s="6"/>
      <c r="C231" s="3"/>
      <c r="D231" s="14"/>
      <c r="E231" s="14"/>
      <c r="F231" s="14"/>
      <c r="G231" s="13"/>
      <c r="H231" s="14"/>
      <c r="I231" s="6"/>
      <c r="J231" s="3"/>
      <c r="K231" s="21"/>
      <c r="L231" s="3"/>
    </row>
    <row r="232" spans="1:13" x14ac:dyDescent="0.25">
      <c r="A232" s="3" t="str">
        <f t="shared" si="7"/>
        <v/>
      </c>
      <c r="B232" s="6"/>
      <c r="C232" s="3"/>
      <c r="D232" s="14"/>
      <c r="E232" s="14"/>
      <c r="F232" s="14"/>
      <c r="G232" s="13"/>
      <c r="H232" s="14"/>
      <c r="I232" s="6"/>
      <c r="J232" s="3"/>
      <c r="K232" s="21"/>
      <c r="L232" s="3"/>
    </row>
    <row r="233" spans="1:13" x14ac:dyDescent="0.25">
      <c r="A233" s="3" t="str">
        <f t="shared" si="7"/>
        <v/>
      </c>
      <c r="B233" s="6"/>
      <c r="C233" s="3"/>
      <c r="D233" s="14"/>
      <c r="E233" s="14"/>
      <c r="F233" s="14"/>
      <c r="G233" s="13"/>
      <c r="H233" s="14"/>
      <c r="I233" s="6"/>
      <c r="J233" s="3"/>
      <c r="K233" s="21"/>
      <c r="L233" s="3"/>
    </row>
    <row r="234" spans="1:13" s="1" customFormat="1" x14ac:dyDescent="0.25">
      <c r="A234" s="9" t="s">
        <v>70</v>
      </c>
      <c r="B234" s="9" t="s">
        <v>69</v>
      </c>
      <c r="C234" s="9" t="s">
        <v>71</v>
      </c>
      <c r="D234" s="9" t="s">
        <v>63</v>
      </c>
      <c r="E234" s="9" t="s">
        <v>64</v>
      </c>
      <c r="F234" s="9" t="s">
        <v>65</v>
      </c>
      <c r="G234" s="10" t="s">
        <v>78</v>
      </c>
      <c r="H234" s="9" t="s">
        <v>66</v>
      </c>
      <c r="I234" s="9" t="s">
        <v>67</v>
      </c>
      <c r="J234" s="9" t="s">
        <v>72</v>
      </c>
      <c r="K234" s="22" t="s">
        <v>68</v>
      </c>
      <c r="L234" s="9" t="s">
        <v>584</v>
      </c>
    </row>
    <row r="235" spans="1:13" x14ac:dyDescent="0.25">
      <c r="A235" s="3" t="str">
        <f t="shared" si="7"/>
        <v>CAJELABORATO</v>
      </c>
      <c r="B235" s="6">
        <v>1</v>
      </c>
      <c r="C235" s="3" t="s">
        <v>381</v>
      </c>
      <c r="D235" s="14" t="s">
        <v>9</v>
      </c>
      <c r="E235" s="14" t="s">
        <v>85</v>
      </c>
      <c r="F235" s="14" t="s">
        <v>85</v>
      </c>
      <c r="G235" s="13" t="s">
        <v>85</v>
      </c>
      <c r="H235" s="14" t="s">
        <v>28</v>
      </c>
      <c r="I235" s="6" t="s">
        <v>3</v>
      </c>
      <c r="J235" s="3" t="s">
        <v>302</v>
      </c>
      <c r="K235" s="21">
        <v>5</v>
      </c>
      <c r="L235" s="24">
        <v>45288</v>
      </c>
    </row>
    <row r="236" spans="1:13" x14ac:dyDescent="0.25">
      <c r="A236" s="3" t="str">
        <f t="shared" ref="A236:A299" si="8">CONCATENATE(LEFT(C236,4),LEFT(H236,8))</f>
        <v>CAJELABORATO</v>
      </c>
      <c r="B236" s="6">
        <v>1</v>
      </c>
      <c r="C236" s="3" t="s">
        <v>382</v>
      </c>
      <c r="D236" s="14" t="s">
        <v>9</v>
      </c>
      <c r="E236" s="14" t="s">
        <v>85</v>
      </c>
      <c r="F236" s="14" t="s">
        <v>85</v>
      </c>
      <c r="G236" s="13" t="s">
        <v>85</v>
      </c>
      <c r="H236" s="14" t="s">
        <v>28</v>
      </c>
      <c r="I236" s="6" t="s">
        <v>3</v>
      </c>
      <c r="J236" s="3" t="s">
        <v>303</v>
      </c>
      <c r="K236" s="21">
        <v>5</v>
      </c>
      <c r="L236" s="24">
        <v>45288</v>
      </c>
    </row>
    <row r="237" spans="1:13" x14ac:dyDescent="0.25">
      <c r="A237" s="3" t="str">
        <f t="shared" si="8"/>
        <v>CAJELABORATO</v>
      </c>
      <c r="B237" s="6">
        <v>1</v>
      </c>
      <c r="C237" s="3" t="s">
        <v>383</v>
      </c>
      <c r="D237" s="14" t="s">
        <v>9</v>
      </c>
      <c r="E237" s="14" t="s">
        <v>85</v>
      </c>
      <c r="F237" s="14" t="s">
        <v>85</v>
      </c>
      <c r="G237" s="13" t="s">
        <v>85</v>
      </c>
      <c r="H237" s="14" t="s">
        <v>28</v>
      </c>
      <c r="I237" s="6" t="s">
        <v>3</v>
      </c>
      <c r="J237" s="3" t="s">
        <v>304</v>
      </c>
      <c r="K237" s="21">
        <v>5</v>
      </c>
      <c r="L237" s="24">
        <v>45288</v>
      </c>
    </row>
    <row r="238" spans="1:13" x14ac:dyDescent="0.25">
      <c r="A238" s="3" t="str">
        <f t="shared" si="8"/>
        <v>CAJELABORATO</v>
      </c>
      <c r="B238" s="6">
        <v>1</v>
      </c>
      <c r="C238" s="3" t="s">
        <v>384</v>
      </c>
      <c r="D238" s="14" t="s">
        <v>9</v>
      </c>
      <c r="E238" s="14" t="s">
        <v>85</v>
      </c>
      <c r="F238" s="14" t="s">
        <v>85</v>
      </c>
      <c r="G238" s="13" t="s">
        <v>85</v>
      </c>
      <c r="H238" s="14" t="s">
        <v>28</v>
      </c>
      <c r="I238" s="6" t="s">
        <v>3</v>
      </c>
      <c r="J238" s="3" t="s">
        <v>305</v>
      </c>
      <c r="K238" s="21">
        <v>5</v>
      </c>
      <c r="L238" s="24">
        <v>45288</v>
      </c>
    </row>
    <row r="239" spans="1:13" x14ac:dyDescent="0.25">
      <c r="A239" s="3" t="str">
        <f t="shared" si="8"/>
        <v>CAJELABORATO</v>
      </c>
      <c r="B239" s="6">
        <v>1</v>
      </c>
      <c r="C239" s="3" t="s">
        <v>385</v>
      </c>
      <c r="D239" s="14" t="s">
        <v>9</v>
      </c>
      <c r="E239" s="14" t="s">
        <v>85</v>
      </c>
      <c r="F239" s="14" t="s">
        <v>85</v>
      </c>
      <c r="G239" s="13" t="s">
        <v>85</v>
      </c>
      <c r="H239" s="14" t="s">
        <v>28</v>
      </c>
      <c r="I239" s="6" t="s">
        <v>3</v>
      </c>
      <c r="J239" s="3" t="s">
        <v>306</v>
      </c>
      <c r="K239" s="21">
        <v>5</v>
      </c>
      <c r="L239" s="24">
        <v>45288</v>
      </c>
    </row>
    <row r="240" spans="1:13" x14ac:dyDescent="0.25">
      <c r="A240" s="3" t="str">
        <f t="shared" si="8"/>
        <v>CAJELABORATO</v>
      </c>
      <c r="B240" s="6">
        <v>1</v>
      </c>
      <c r="C240" s="3" t="s">
        <v>386</v>
      </c>
      <c r="D240" s="14" t="s">
        <v>9</v>
      </c>
      <c r="E240" s="14" t="s">
        <v>85</v>
      </c>
      <c r="F240" s="14" t="s">
        <v>85</v>
      </c>
      <c r="G240" s="13" t="s">
        <v>85</v>
      </c>
      <c r="H240" s="14" t="s">
        <v>28</v>
      </c>
      <c r="I240" s="6" t="s">
        <v>3</v>
      </c>
      <c r="J240" s="3" t="s">
        <v>307</v>
      </c>
      <c r="K240" s="21">
        <v>5</v>
      </c>
      <c r="L240" s="24">
        <v>45288</v>
      </c>
    </row>
    <row r="241" spans="1:12" x14ac:dyDescent="0.25">
      <c r="A241" s="3" t="str">
        <f t="shared" si="8"/>
        <v>CAJELABORATO</v>
      </c>
      <c r="B241" s="6">
        <v>1</v>
      </c>
      <c r="C241" s="3" t="s">
        <v>387</v>
      </c>
      <c r="D241" s="14" t="s">
        <v>9</v>
      </c>
      <c r="E241" s="14" t="s">
        <v>85</v>
      </c>
      <c r="F241" s="14" t="s">
        <v>85</v>
      </c>
      <c r="G241" s="13" t="s">
        <v>85</v>
      </c>
      <c r="H241" s="14" t="s">
        <v>28</v>
      </c>
      <c r="I241" s="6" t="s">
        <v>3</v>
      </c>
      <c r="J241" s="3" t="s">
        <v>308</v>
      </c>
      <c r="K241" s="21">
        <v>5</v>
      </c>
      <c r="L241" s="24">
        <v>45288</v>
      </c>
    </row>
    <row r="242" spans="1:12" x14ac:dyDescent="0.25">
      <c r="A242" s="3" t="str">
        <f t="shared" si="8"/>
        <v>CAJELABORATO</v>
      </c>
      <c r="B242" s="6">
        <v>1</v>
      </c>
      <c r="C242" s="3" t="s">
        <v>388</v>
      </c>
      <c r="D242" s="14" t="s">
        <v>9</v>
      </c>
      <c r="E242" s="14" t="s">
        <v>85</v>
      </c>
      <c r="F242" s="14" t="s">
        <v>85</v>
      </c>
      <c r="G242" s="13" t="s">
        <v>85</v>
      </c>
      <c r="H242" s="14" t="s">
        <v>28</v>
      </c>
      <c r="I242" s="6" t="s">
        <v>3</v>
      </c>
      <c r="J242" s="3" t="s">
        <v>309</v>
      </c>
      <c r="K242" s="21">
        <v>5</v>
      </c>
      <c r="L242" s="24">
        <v>45288</v>
      </c>
    </row>
    <row r="243" spans="1:12" x14ac:dyDescent="0.25">
      <c r="A243" s="3" t="str">
        <f t="shared" si="8"/>
        <v>CAJELABORATO</v>
      </c>
      <c r="B243" s="6">
        <v>1</v>
      </c>
      <c r="C243" s="3" t="s">
        <v>389</v>
      </c>
      <c r="D243" s="14" t="s">
        <v>9</v>
      </c>
      <c r="E243" s="14" t="s">
        <v>85</v>
      </c>
      <c r="F243" s="14" t="s">
        <v>85</v>
      </c>
      <c r="G243" s="13" t="s">
        <v>85</v>
      </c>
      <c r="H243" s="14" t="s">
        <v>28</v>
      </c>
      <c r="I243" s="6" t="s">
        <v>3</v>
      </c>
      <c r="J243" s="3" t="s">
        <v>310</v>
      </c>
      <c r="K243" s="21">
        <v>5</v>
      </c>
      <c r="L243" s="24">
        <v>45288</v>
      </c>
    </row>
    <row r="244" spans="1:12" x14ac:dyDescent="0.25">
      <c r="A244" s="3" t="str">
        <f t="shared" si="8"/>
        <v>CAJELABORATO</v>
      </c>
      <c r="B244" s="6">
        <v>1</v>
      </c>
      <c r="C244" s="3" t="s">
        <v>390</v>
      </c>
      <c r="D244" s="14" t="s">
        <v>9</v>
      </c>
      <c r="E244" s="14" t="s">
        <v>85</v>
      </c>
      <c r="F244" s="14" t="s">
        <v>85</v>
      </c>
      <c r="G244" s="13" t="s">
        <v>85</v>
      </c>
      <c r="H244" s="14" t="s">
        <v>28</v>
      </c>
      <c r="I244" s="6" t="s">
        <v>3</v>
      </c>
      <c r="J244" s="3" t="s">
        <v>311</v>
      </c>
      <c r="K244" s="21">
        <v>5</v>
      </c>
      <c r="L244" s="24">
        <v>45288</v>
      </c>
    </row>
    <row r="245" spans="1:12" x14ac:dyDescent="0.25">
      <c r="A245" s="3" t="str">
        <f t="shared" si="8"/>
        <v>CPULABORATO</v>
      </c>
      <c r="B245" s="6">
        <v>1</v>
      </c>
      <c r="C245" s="3" t="s">
        <v>0</v>
      </c>
      <c r="D245" s="14" t="s">
        <v>463</v>
      </c>
      <c r="E245" s="14" t="s">
        <v>25</v>
      </c>
      <c r="F245" s="14" t="s">
        <v>81</v>
      </c>
      <c r="G245" s="13" t="s">
        <v>83</v>
      </c>
      <c r="H245" s="14" t="s">
        <v>28</v>
      </c>
      <c r="I245" s="6" t="s">
        <v>3</v>
      </c>
      <c r="J245" s="3" t="s">
        <v>464</v>
      </c>
      <c r="K245" s="21">
        <v>250</v>
      </c>
      <c r="L245" s="24">
        <v>45288</v>
      </c>
    </row>
    <row r="246" spans="1:12" x14ac:dyDescent="0.25">
      <c r="A246" s="3" t="str">
        <f t="shared" si="8"/>
        <v>MONILABORATO</v>
      </c>
      <c r="B246" s="6">
        <v>1</v>
      </c>
      <c r="C246" s="3" t="s">
        <v>4</v>
      </c>
      <c r="D246" s="14" t="s">
        <v>1</v>
      </c>
      <c r="E246" s="14" t="s">
        <v>40</v>
      </c>
      <c r="F246" s="14" t="s">
        <v>465</v>
      </c>
      <c r="G246" s="13" t="s">
        <v>466</v>
      </c>
      <c r="H246" s="14" t="s">
        <v>28</v>
      </c>
      <c r="I246" s="6" t="s">
        <v>3</v>
      </c>
      <c r="J246" s="3" t="s">
        <v>372</v>
      </c>
      <c r="K246" s="21">
        <v>60</v>
      </c>
      <c r="L246" s="24">
        <v>45288</v>
      </c>
    </row>
    <row r="247" spans="1:12" x14ac:dyDescent="0.25">
      <c r="A247" s="3" t="str">
        <f t="shared" si="8"/>
        <v>TECLLABORATO</v>
      </c>
      <c r="B247" s="6">
        <v>1</v>
      </c>
      <c r="C247" s="3" t="s">
        <v>11</v>
      </c>
      <c r="D247" s="14" t="s">
        <v>1</v>
      </c>
      <c r="E247" s="14" t="s">
        <v>14</v>
      </c>
      <c r="F247" s="14" t="s">
        <v>467</v>
      </c>
      <c r="G247" s="13" t="s">
        <v>468</v>
      </c>
      <c r="H247" s="14" t="s">
        <v>28</v>
      </c>
      <c r="I247" s="6" t="s">
        <v>3</v>
      </c>
      <c r="J247" s="3" t="s">
        <v>572</v>
      </c>
      <c r="K247" s="21">
        <v>10</v>
      </c>
      <c r="L247" s="24">
        <v>45288</v>
      </c>
    </row>
    <row r="248" spans="1:12" x14ac:dyDescent="0.25">
      <c r="A248" s="3" t="str">
        <f t="shared" si="8"/>
        <v>MOUSLABORATO</v>
      </c>
      <c r="B248" s="6">
        <v>1</v>
      </c>
      <c r="C248" s="3" t="s">
        <v>6</v>
      </c>
      <c r="D248" s="14" t="s">
        <v>469</v>
      </c>
      <c r="E248" s="14" t="s">
        <v>14</v>
      </c>
      <c r="F248" s="14" t="s">
        <v>245</v>
      </c>
      <c r="G248" s="13" t="s">
        <v>470</v>
      </c>
      <c r="H248" s="14" t="s">
        <v>28</v>
      </c>
      <c r="I248" s="6" t="s">
        <v>3</v>
      </c>
      <c r="J248" s="3" t="s">
        <v>540</v>
      </c>
      <c r="K248" s="21">
        <v>6</v>
      </c>
      <c r="L248" s="24">
        <v>45288</v>
      </c>
    </row>
    <row r="249" spans="1:12" x14ac:dyDescent="0.25">
      <c r="A249" s="3" t="str">
        <f t="shared" si="8"/>
        <v>CPU-LABORATO</v>
      </c>
      <c r="B249" s="6">
        <v>1</v>
      </c>
      <c r="C249" s="3" t="s">
        <v>312</v>
      </c>
      <c r="D249" s="14" t="s">
        <v>1</v>
      </c>
      <c r="E249" s="14" t="s">
        <v>2</v>
      </c>
      <c r="F249" s="14" t="s">
        <v>397</v>
      </c>
      <c r="G249" s="13">
        <v>81830</v>
      </c>
      <c r="H249" s="14" t="s">
        <v>28</v>
      </c>
      <c r="I249" s="6" t="s">
        <v>3</v>
      </c>
      <c r="J249" s="3" t="s">
        <v>398</v>
      </c>
      <c r="K249" s="21">
        <v>250</v>
      </c>
      <c r="L249" s="24">
        <v>45288</v>
      </c>
    </row>
    <row r="250" spans="1:12" x14ac:dyDescent="0.25">
      <c r="A250" s="3" t="str">
        <f t="shared" si="8"/>
        <v>MONILABORATO</v>
      </c>
      <c r="B250" s="6">
        <v>1</v>
      </c>
      <c r="C250" s="3" t="s">
        <v>313</v>
      </c>
      <c r="D250" s="14" t="s">
        <v>1</v>
      </c>
      <c r="E250" s="14" t="s">
        <v>5</v>
      </c>
      <c r="F250" s="14" t="s">
        <v>212</v>
      </c>
      <c r="G250" s="13" t="s">
        <v>392</v>
      </c>
      <c r="H250" s="14" t="s">
        <v>28</v>
      </c>
      <c r="I250" s="6" t="s">
        <v>3</v>
      </c>
      <c r="J250" s="3" t="s">
        <v>372</v>
      </c>
      <c r="K250" s="21">
        <v>60</v>
      </c>
      <c r="L250" s="24">
        <v>45288</v>
      </c>
    </row>
    <row r="251" spans="1:12" x14ac:dyDescent="0.25">
      <c r="A251" s="3" t="str">
        <f t="shared" si="8"/>
        <v>TECLLABORATO</v>
      </c>
      <c r="B251" s="6">
        <v>1</v>
      </c>
      <c r="C251" s="3" t="s">
        <v>314</v>
      </c>
      <c r="D251" s="14" t="s">
        <v>1</v>
      </c>
      <c r="E251" s="14" t="s">
        <v>14</v>
      </c>
      <c r="F251" s="14" t="s">
        <v>393</v>
      </c>
      <c r="G251" s="13" t="s">
        <v>394</v>
      </c>
      <c r="H251" s="14" t="s">
        <v>28</v>
      </c>
      <c r="I251" s="6" t="s">
        <v>3</v>
      </c>
      <c r="J251" s="3" t="s">
        <v>572</v>
      </c>
      <c r="K251" s="21">
        <v>10</v>
      </c>
      <c r="L251" s="24">
        <v>45288</v>
      </c>
    </row>
    <row r="252" spans="1:12" x14ac:dyDescent="0.25">
      <c r="A252" s="3" t="str">
        <f t="shared" si="8"/>
        <v>MOUSLABORATO</v>
      </c>
      <c r="B252" s="6">
        <v>1</v>
      </c>
      <c r="C252" s="3" t="s">
        <v>315</v>
      </c>
      <c r="D252" s="14" t="s">
        <v>261</v>
      </c>
      <c r="E252" s="14" t="s">
        <v>13</v>
      </c>
      <c r="F252" s="14" t="s">
        <v>395</v>
      </c>
      <c r="G252" s="13" t="s">
        <v>396</v>
      </c>
      <c r="H252" s="14" t="s">
        <v>28</v>
      </c>
      <c r="I252" s="6" t="s">
        <v>3</v>
      </c>
      <c r="J252" s="3" t="s">
        <v>543</v>
      </c>
      <c r="K252" s="21">
        <v>5</v>
      </c>
      <c r="L252" s="24">
        <v>45288</v>
      </c>
    </row>
    <row r="253" spans="1:12" x14ac:dyDescent="0.25">
      <c r="A253" s="3" t="str">
        <f t="shared" si="8"/>
        <v>CPU-LABORATO</v>
      </c>
      <c r="B253" s="6">
        <v>1</v>
      </c>
      <c r="C253" s="3" t="s">
        <v>316</v>
      </c>
      <c r="D253" s="14" t="s">
        <v>1</v>
      </c>
      <c r="E253" s="14" t="s">
        <v>13</v>
      </c>
      <c r="F253" s="14" t="s">
        <v>81</v>
      </c>
      <c r="G253" s="13" t="s">
        <v>83</v>
      </c>
      <c r="H253" s="14" t="s">
        <v>28</v>
      </c>
      <c r="I253" s="6" t="s">
        <v>3</v>
      </c>
      <c r="J253" s="3" t="s">
        <v>399</v>
      </c>
      <c r="K253" s="21">
        <v>250</v>
      </c>
      <c r="L253" s="24">
        <v>45288</v>
      </c>
    </row>
    <row r="254" spans="1:12" x14ac:dyDescent="0.25">
      <c r="A254" s="3" t="str">
        <f t="shared" si="8"/>
        <v>MONILABORATO</v>
      </c>
      <c r="B254" s="6">
        <v>1</v>
      </c>
      <c r="C254" s="3" t="s">
        <v>317</v>
      </c>
      <c r="D254" s="14" t="s">
        <v>1</v>
      </c>
      <c r="E254" s="14" t="s">
        <v>5</v>
      </c>
      <c r="F254" s="14" t="s">
        <v>212</v>
      </c>
      <c r="G254" s="13" t="s">
        <v>31</v>
      </c>
      <c r="H254" s="14" t="s">
        <v>28</v>
      </c>
      <c r="I254" s="6" t="s">
        <v>3</v>
      </c>
      <c r="J254" s="3" t="s">
        <v>372</v>
      </c>
      <c r="K254" s="21">
        <v>60</v>
      </c>
      <c r="L254" s="24">
        <v>45288</v>
      </c>
    </row>
    <row r="255" spans="1:12" x14ac:dyDescent="0.25">
      <c r="A255" s="3" t="str">
        <f t="shared" si="8"/>
        <v>TECLLABORATO</v>
      </c>
      <c r="B255" s="6">
        <v>1</v>
      </c>
      <c r="C255" s="3" t="s">
        <v>318</v>
      </c>
      <c r="D255" s="14" t="s">
        <v>1</v>
      </c>
      <c r="E255" s="14" t="s">
        <v>13</v>
      </c>
      <c r="F255" s="14" t="s">
        <v>116</v>
      </c>
      <c r="G255" s="13" t="s">
        <v>400</v>
      </c>
      <c r="H255" s="14" t="s">
        <v>28</v>
      </c>
      <c r="I255" s="6" t="s">
        <v>3</v>
      </c>
      <c r="J255" s="3" t="s">
        <v>571</v>
      </c>
      <c r="K255" s="21">
        <v>17</v>
      </c>
      <c r="L255" s="24">
        <v>45288</v>
      </c>
    </row>
    <row r="256" spans="1:12" x14ac:dyDescent="0.25">
      <c r="A256" s="3" t="str">
        <f t="shared" si="8"/>
        <v>MOUSLABORATO</v>
      </c>
      <c r="B256" s="6">
        <v>1</v>
      </c>
      <c r="C256" s="3" t="s">
        <v>319</v>
      </c>
      <c r="D256" s="14" t="s">
        <v>261</v>
      </c>
      <c r="E256" s="14" t="s">
        <v>13</v>
      </c>
      <c r="F256" s="14" t="s">
        <v>395</v>
      </c>
      <c r="G256" s="13" t="s">
        <v>401</v>
      </c>
      <c r="H256" s="14" t="s">
        <v>28</v>
      </c>
      <c r="I256" s="6" t="s">
        <v>3</v>
      </c>
      <c r="J256" s="3" t="s">
        <v>543</v>
      </c>
      <c r="K256" s="21">
        <v>5</v>
      </c>
      <c r="L256" s="24">
        <v>45288</v>
      </c>
    </row>
    <row r="257" spans="1:12" x14ac:dyDescent="0.25">
      <c r="A257" s="3" t="str">
        <f t="shared" si="8"/>
        <v>CPU-LABORATO</v>
      </c>
      <c r="B257" s="6">
        <v>1</v>
      </c>
      <c r="C257" s="3" t="s">
        <v>320</v>
      </c>
      <c r="D257" s="14" t="s">
        <v>1</v>
      </c>
      <c r="E257" s="14" t="s">
        <v>2</v>
      </c>
      <c r="F257" s="14" t="s">
        <v>397</v>
      </c>
      <c r="G257" s="13">
        <v>81837</v>
      </c>
      <c r="H257" s="14" t="s">
        <v>28</v>
      </c>
      <c r="I257" s="6" t="s">
        <v>3</v>
      </c>
      <c r="J257" s="3" t="s">
        <v>402</v>
      </c>
      <c r="K257" s="21">
        <v>250</v>
      </c>
      <c r="L257" s="24">
        <v>45288</v>
      </c>
    </row>
    <row r="258" spans="1:12" x14ac:dyDescent="0.25">
      <c r="A258" s="3" t="str">
        <f t="shared" si="8"/>
        <v>MONILABORATO</v>
      </c>
      <c r="B258" s="6">
        <v>1</v>
      </c>
      <c r="C258" s="3" t="s">
        <v>321</v>
      </c>
      <c r="D258" s="14" t="s">
        <v>1</v>
      </c>
      <c r="E258" s="14" t="s">
        <v>5</v>
      </c>
      <c r="F258" s="14" t="s">
        <v>212</v>
      </c>
      <c r="G258" s="13" t="s">
        <v>30</v>
      </c>
      <c r="H258" s="14" t="s">
        <v>28</v>
      </c>
      <c r="I258" s="6" t="s">
        <v>3</v>
      </c>
      <c r="J258" s="3" t="s">
        <v>372</v>
      </c>
      <c r="K258" s="21">
        <v>60</v>
      </c>
      <c r="L258" s="24">
        <v>45288</v>
      </c>
    </row>
    <row r="259" spans="1:12" x14ac:dyDescent="0.25">
      <c r="A259" s="3" t="str">
        <f t="shared" si="8"/>
        <v>TECLLABORATO</v>
      </c>
      <c r="B259" s="6">
        <v>1</v>
      </c>
      <c r="C259" s="3" t="s">
        <v>322</v>
      </c>
      <c r="D259" s="14" t="s">
        <v>403</v>
      </c>
      <c r="E259" s="14" t="s">
        <v>14</v>
      </c>
      <c r="F259" s="14" t="s">
        <v>404</v>
      </c>
      <c r="G259" s="13" t="s">
        <v>405</v>
      </c>
      <c r="H259" s="14" t="s">
        <v>28</v>
      </c>
      <c r="I259" s="6" t="s">
        <v>3</v>
      </c>
      <c r="J259" s="3" t="s">
        <v>572</v>
      </c>
      <c r="K259" s="21">
        <v>10</v>
      </c>
      <c r="L259" s="24">
        <v>45288</v>
      </c>
    </row>
    <row r="260" spans="1:12" x14ac:dyDescent="0.25">
      <c r="A260" s="3" t="str">
        <f t="shared" si="8"/>
        <v>MOUSLABORATO</v>
      </c>
      <c r="B260" s="6">
        <v>1</v>
      </c>
      <c r="C260" s="3" t="s">
        <v>323</v>
      </c>
      <c r="D260" s="14" t="s">
        <v>261</v>
      </c>
      <c r="E260" s="14" t="s">
        <v>13</v>
      </c>
      <c r="F260" s="14" t="s">
        <v>395</v>
      </c>
      <c r="G260" s="13" t="s">
        <v>406</v>
      </c>
      <c r="H260" s="14" t="s">
        <v>28</v>
      </c>
      <c r="I260" s="6" t="s">
        <v>3</v>
      </c>
      <c r="J260" s="3" t="s">
        <v>543</v>
      </c>
      <c r="K260" s="21">
        <v>5</v>
      </c>
      <c r="L260" s="24">
        <v>45288</v>
      </c>
    </row>
    <row r="261" spans="1:12" x14ac:dyDescent="0.25">
      <c r="A261" s="3" t="str">
        <f t="shared" si="8"/>
        <v>CPU-LABORATO</v>
      </c>
      <c r="B261" s="6">
        <v>1</v>
      </c>
      <c r="C261" s="3" t="s">
        <v>324</v>
      </c>
      <c r="D261" s="14" t="s">
        <v>1</v>
      </c>
      <c r="E261" s="14" t="s">
        <v>13</v>
      </c>
      <c r="F261" s="14" t="s">
        <v>81</v>
      </c>
      <c r="G261" s="13" t="s">
        <v>83</v>
      </c>
      <c r="H261" s="14" t="s">
        <v>28</v>
      </c>
      <c r="I261" s="6" t="s">
        <v>3</v>
      </c>
      <c r="J261" s="3" t="s">
        <v>407</v>
      </c>
      <c r="K261" s="21">
        <v>250</v>
      </c>
      <c r="L261" s="24">
        <v>45288</v>
      </c>
    </row>
    <row r="262" spans="1:12" x14ac:dyDescent="0.25">
      <c r="A262" s="3" t="str">
        <f t="shared" si="8"/>
        <v>MONILABORATO</v>
      </c>
      <c r="B262" s="6">
        <v>1</v>
      </c>
      <c r="C262" s="3" t="s">
        <v>325</v>
      </c>
      <c r="D262" s="14" t="s">
        <v>1</v>
      </c>
      <c r="E262" s="14" t="s">
        <v>408</v>
      </c>
      <c r="F262" s="14" t="s">
        <v>212</v>
      </c>
      <c r="G262" s="13" t="s">
        <v>29</v>
      </c>
      <c r="H262" s="14" t="s">
        <v>28</v>
      </c>
      <c r="I262" s="6" t="s">
        <v>3</v>
      </c>
      <c r="J262" s="3" t="s">
        <v>372</v>
      </c>
      <c r="K262" s="21">
        <v>60</v>
      </c>
      <c r="L262" s="24">
        <v>45288</v>
      </c>
    </row>
    <row r="263" spans="1:12" x14ac:dyDescent="0.25">
      <c r="A263" s="3" t="str">
        <f t="shared" si="8"/>
        <v>TECLLABORATO</v>
      </c>
      <c r="B263" s="6">
        <v>1</v>
      </c>
      <c r="C263" s="3" t="s">
        <v>326</v>
      </c>
      <c r="D263" s="14" t="s">
        <v>1</v>
      </c>
      <c r="E263" s="14" t="s">
        <v>14</v>
      </c>
      <c r="F263" s="14" t="s">
        <v>409</v>
      </c>
      <c r="G263" s="13" t="s">
        <v>410</v>
      </c>
      <c r="H263" s="14" t="s">
        <v>28</v>
      </c>
      <c r="I263" s="6" t="s">
        <v>3</v>
      </c>
      <c r="J263" s="3" t="s">
        <v>572</v>
      </c>
      <c r="K263" s="21">
        <v>10</v>
      </c>
      <c r="L263" s="24">
        <v>45288</v>
      </c>
    </row>
    <row r="264" spans="1:12" x14ac:dyDescent="0.25">
      <c r="A264" s="3" t="str">
        <f t="shared" si="8"/>
        <v>MOUSLABORATO</v>
      </c>
      <c r="B264" s="6">
        <v>1</v>
      </c>
      <c r="C264" s="3" t="s">
        <v>327</v>
      </c>
      <c r="D264" s="14" t="s">
        <v>411</v>
      </c>
      <c r="E264" s="14" t="s">
        <v>18</v>
      </c>
      <c r="F264" s="14" t="s">
        <v>85</v>
      </c>
      <c r="G264" s="13" t="s">
        <v>83</v>
      </c>
      <c r="H264" s="14" t="s">
        <v>28</v>
      </c>
      <c r="I264" s="6" t="s">
        <v>3</v>
      </c>
      <c r="J264" s="3" t="s">
        <v>541</v>
      </c>
      <c r="K264" s="21">
        <v>5</v>
      </c>
      <c r="L264" s="24">
        <v>45288</v>
      </c>
    </row>
    <row r="265" spans="1:12" x14ac:dyDescent="0.25">
      <c r="A265" s="3" t="str">
        <f t="shared" si="8"/>
        <v>CPU-LABORATO</v>
      </c>
      <c r="B265" s="6">
        <v>1</v>
      </c>
      <c r="C265" s="3" t="s">
        <v>328</v>
      </c>
      <c r="D265" s="14" t="s">
        <v>1</v>
      </c>
      <c r="E265" s="14" t="s">
        <v>13</v>
      </c>
      <c r="F265" s="14" t="s">
        <v>81</v>
      </c>
      <c r="G265" s="13" t="s">
        <v>83</v>
      </c>
      <c r="H265" s="14" t="s">
        <v>28</v>
      </c>
      <c r="I265" s="6" t="s">
        <v>3</v>
      </c>
      <c r="J265" s="3" t="s">
        <v>407</v>
      </c>
      <c r="K265" s="21">
        <v>250</v>
      </c>
      <c r="L265" s="24">
        <v>45288</v>
      </c>
    </row>
    <row r="266" spans="1:12" x14ac:dyDescent="0.25">
      <c r="A266" s="3" t="str">
        <f t="shared" si="8"/>
        <v>MONILABORATO</v>
      </c>
      <c r="B266" s="6">
        <v>1</v>
      </c>
      <c r="C266" s="3" t="s">
        <v>329</v>
      </c>
      <c r="D266" s="14" t="s">
        <v>1</v>
      </c>
      <c r="E266" s="14" t="s">
        <v>5</v>
      </c>
      <c r="F266" s="14" t="s">
        <v>212</v>
      </c>
      <c r="G266" s="13" t="s">
        <v>32</v>
      </c>
      <c r="H266" s="14" t="s">
        <v>28</v>
      </c>
      <c r="I266" s="6" t="s">
        <v>3</v>
      </c>
      <c r="J266" s="3" t="s">
        <v>372</v>
      </c>
      <c r="K266" s="21">
        <v>60</v>
      </c>
      <c r="L266" s="24">
        <v>45288</v>
      </c>
    </row>
    <row r="267" spans="1:12" x14ac:dyDescent="0.25">
      <c r="A267" s="3" t="str">
        <f t="shared" si="8"/>
        <v>TECLLABORATO</v>
      </c>
      <c r="B267" s="6">
        <v>1</v>
      </c>
      <c r="C267" s="3" t="s">
        <v>330</v>
      </c>
      <c r="D267" s="14" t="s">
        <v>249</v>
      </c>
      <c r="E267" s="14" t="s">
        <v>25</v>
      </c>
      <c r="F267" s="14" t="s">
        <v>85</v>
      </c>
      <c r="G267" s="13" t="s">
        <v>83</v>
      </c>
      <c r="H267" s="14" t="s">
        <v>28</v>
      </c>
      <c r="I267" s="6" t="s">
        <v>3</v>
      </c>
      <c r="J267" s="3" t="s">
        <v>571</v>
      </c>
      <c r="K267" s="21">
        <v>17</v>
      </c>
      <c r="L267" s="24">
        <v>45288</v>
      </c>
    </row>
    <row r="268" spans="1:12" x14ac:dyDescent="0.25">
      <c r="A268" s="3" t="str">
        <f t="shared" si="8"/>
        <v>MOUSLABORATO</v>
      </c>
      <c r="B268" s="6">
        <v>1</v>
      </c>
      <c r="C268" s="3" t="s">
        <v>331</v>
      </c>
      <c r="D268" s="14" t="s">
        <v>1</v>
      </c>
      <c r="E268" s="14" t="s">
        <v>14</v>
      </c>
      <c r="F268" s="14" t="s">
        <v>143</v>
      </c>
      <c r="G268" s="13" t="s">
        <v>412</v>
      </c>
      <c r="H268" s="14" t="s">
        <v>28</v>
      </c>
      <c r="I268" s="6" t="s">
        <v>3</v>
      </c>
      <c r="J268" s="3" t="s">
        <v>540</v>
      </c>
      <c r="K268" s="21">
        <v>6</v>
      </c>
      <c r="L268" s="24">
        <v>45288</v>
      </c>
    </row>
    <row r="269" spans="1:12" x14ac:dyDescent="0.25">
      <c r="A269" s="3" t="str">
        <f t="shared" si="8"/>
        <v>CPU-LABORATO</v>
      </c>
      <c r="B269" s="6">
        <v>1</v>
      </c>
      <c r="C269" s="3" t="s">
        <v>332</v>
      </c>
      <c r="D269" s="14" t="s">
        <v>1</v>
      </c>
      <c r="E269" s="14" t="s">
        <v>13</v>
      </c>
      <c r="F269" s="14" t="s">
        <v>81</v>
      </c>
      <c r="G269" s="13" t="s">
        <v>83</v>
      </c>
      <c r="H269" s="14" t="s">
        <v>28</v>
      </c>
      <c r="I269" s="6" t="s">
        <v>3</v>
      </c>
      <c r="J269" s="3" t="s">
        <v>413</v>
      </c>
      <c r="K269" s="21">
        <v>250</v>
      </c>
      <c r="L269" s="24">
        <v>45288</v>
      </c>
    </row>
    <row r="270" spans="1:12" x14ac:dyDescent="0.25">
      <c r="A270" s="3" t="str">
        <f t="shared" si="8"/>
        <v>MONILABORATO</v>
      </c>
      <c r="B270" s="6">
        <v>1</v>
      </c>
      <c r="C270" s="3" t="s">
        <v>333</v>
      </c>
      <c r="D270" s="14" t="s">
        <v>1</v>
      </c>
      <c r="E270" s="14" t="s">
        <v>5</v>
      </c>
      <c r="F270" s="14" t="s">
        <v>212</v>
      </c>
      <c r="G270" s="13" t="s">
        <v>33</v>
      </c>
      <c r="H270" s="14" t="s">
        <v>28</v>
      </c>
      <c r="I270" s="6" t="s">
        <v>3</v>
      </c>
      <c r="J270" s="3" t="s">
        <v>372</v>
      </c>
      <c r="K270" s="21">
        <v>60</v>
      </c>
      <c r="L270" s="24">
        <v>45288</v>
      </c>
    </row>
    <row r="271" spans="1:12" x14ac:dyDescent="0.25">
      <c r="A271" s="3" t="str">
        <f t="shared" si="8"/>
        <v>TECLLABORATO</v>
      </c>
      <c r="B271" s="6">
        <v>1</v>
      </c>
      <c r="C271" s="3" t="s">
        <v>337</v>
      </c>
      <c r="D271" s="14" t="s">
        <v>1</v>
      </c>
      <c r="E271" s="14" t="s">
        <v>14</v>
      </c>
      <c r="F271" s="14" t="s">
        <v>132</v>
      </c>
      <c r="G271" s="13" t="s">
        <v>414</v>
      </c>
      <c r="H271" s="14" t="s">
        <v>28</v>
      </c>
      <c r="I271" s="6" t="s">
        <v>3</v>
      </c>
      <c r="J271" s="3" t="s">
        <v>572</v>
      </c>
      <c r="K271" s="21">
        <v>10</v>
      </c>
      <c r="L271" s="24">
        <v>45288</v>
      </c>
    </row>
    <row r="272" spans="1:12" x14ac:dyDescent="0.25">
      <c r="A272" s="3" t="str">
        <f t="shared" si="8"/>
        <v>MOUSLABORATO</v>
      </c>
      <c r="B272" s="6">
        <v>1</v>
      </c>
      <c r="C272" s="3" t="s">
        <v>338</v>
      </c>
      <c r="D272" s="14" t="s">
        <v>261</v>
      </c>
      <c r="E272" s="14" t="s">
        <v>13</v>
      </c>
      <c r="F272" s="14" t="s">
        <v>395</v>
      </c>
      <c r="G272" s="13" t="s">
        <v>415</v>
      </c>
      <c r="H272" s="14" t="s">
        <v>28</v>
      </c>
      <c r="I272" s="6" t="s">
        <v>3</v>
      </c>
      <c r="J272" s="3" t="s">
        <v>543</v>
      </c>
      <c r="K272" s="21">
        <v>5</v>
      </c>
      <c r="L272" s="24">
        <v>45288</v>
      </c>
    </row>
    <row r="273" spans="1:12" x14ac:dyDescent="0.25">
      <c r="A273" s="3" t="str">
        <f t="shared" si="8"/>
        <v>CPU-LABORATO</v>
      </c>
      <c r="B273" s="6">
        <v>1</v>
      </c>
      <c r="C273" s="3" t="s">
        <v>336</v>
      </c>
      <c r="D273" s="14" t="s">
        <v>1</v>
      </c>
      <c r="E273" s="14" t="s">
        <v>13</v>
      </c>
      <c r="F273" s="14" t="s">
        <v>85</v>
      </c>
      <c r="G273" s="13" t="s">
        <v>83</v>
      </c>
      <c r="H273" s="14" t="s">
        <v>28</v>
      </c>
      <c r="I273" s="6" t="s">
        <v>3</v>
      </c>
      <c r="J273" s="3" t="s">
        <v>407</v>
      </c>
      <c r="K273" s="21">
        <v>250</v>
      </c>
      <c r="L273" s="24">
        <v>45288</v>
      </c>
    </row>
    <row r="274" spans="1:12" x14ac:dyDescent="0.25">
      <c r="A274" s="3" t="str">
        <f t="shared" si="8"/>
        <v>MONILABORATO</v>
      </c>
      <c r="B274" s="6">
        <v>1</v>
      </c>
      <c r="C274" s="3" t="s">
        <v>339</v>
      </c>
      <c r="D274" s="14" t="s">
        <v>1</v>
      </c>
      <c r="E274" s="14" t="s">
        <v>5</v>
      </c>
      <c r="F274" s="14" t="s">
        <v>212</v>
      </c>
      <c r="G274" s="13" t="s">
        <v>34</v>
      </c>
      <c r="H274" s="14" t="s">
        <v>28</v>
      </c>
      <c r="I274" s="6" t="s">
        <v>3</v>
      </c>
      <c r="J274" s="3" t="s">
        <v>372</v>
      </c>
      <c r="K274" s="21">
        <v>60</v>
      </c>
      <c r="L274" s="24">
        <v>45288</v>
      </c>
    </row>
    <row r="275" spans="1:12" x14ac:dyDescent="0.25">
      <c r="A275" s="3" t="str">
        <f t="shared" si="8"/>
        <v>TECLLABORATO</v>
      </c>
      <c r="B275" s="6">
        <v>1</v>
      </c>
      <c r="C275" s="3" t="s">
        <v>334</v>
      </c>
      <c r="D275" s="14" t="s">
        <v>1</v>
      </c>
      <c r="E275" s="14" t="s">
        <v>14</v>
      </c>
      <c r="F275" s="14" t="s">
        <v>132</v>
      </c>
      <c r="G275" s="13" t="s">
        <v>416</v>
      </c>
      <c r="H275" s="14" t="s">
        <v>28</v>
      </c>
      <c r="I275" s="6" t="s">
        <v>3</v>
      </c>
      <c r="J275" s="3" t="s">
        <v>572</v>
      </c>
      <c r="K275" s="21">
        <v>10</v>
      </c>
      <c r="L275" s="24">
        <v>45288</v>
      </c>
    </row>
    <row r="276" spans="1:12" x14ac:dyDescent="0.25">
      <c r="A276" s="3" t="str">
        <f t="shared" si="8"/>
        <v>MOUSLABORATO</v>
      </c>
      <c r="B276" s="6">
        <v>1</v>
      </c>
      <c r="C276" s="3" t="s">
        <v>335</v>
      </c>
      <c r="D276" s="14" t="s">
        <v>1</v>
      </c>
      <c r="E276" s="14" t="s">
        <v>14</v>
      </c>
      <c r="F276" s="14" t="s">
        <v>417</v>
      </c>
      <c r="G276" s="13" t="s">
        <v>418</v>
      </c>
      <c r="H276" s="14" t="s">
        <v>28</v>
      </c>
      <c r="I276" s="6" t="s">
        <v>3</v>
      </c>
      <c r="J276" s="3" t="s">
        <v>540</v>
      </c>
      <c r="K276" s="21">
        <v>6</v>
      </c>
      <c r="L276" s="24">
        <v>45288</v>
      </c>
    </row>
    <row r="277" spans="1:12" x14ac:dyDescent="0.25">
      <c r="A277" s="3" t="str">
        <f t="shared" si="8"/>
        <v>CPU-LABORATO</v>
      </c>
      <c r="B277" s="6">
        <v>1</v>
      </c>
      <c r="C277" s="3" t="s">
        <v>340</v>
      </c>
      <c r="D277" s="14" t="s">
        <v>1</v>
      </c>
      <c r="E277" s="14" t="s">
        <v>419</v>
      </c>
      <c r="F277" s="14" t="s">
        <v>81</v>
      </c>
      <c r="G277" s="13" t="s">
        <v>83</v>
      </c>
      <c r="H277" s="14" t="s">
        <v>28</v>
      </c>
      <c r="I277" s="6" t="s">
        <v>3</v>
      </c>
      <c r="J277" s="3" t="s">
        <v>420</v>
      </c>
      <c r="K277" s="21">
        <v>250</v>
      </c>
      <c r="L277" s="24">
        <v>45288</v>
      </c>
    </row>
    <row r="278" spans="1:12" x14ac:dyDescent="0.25">
      <c r="A278" s="3" t="str">
        <f t="shared" si="8"/>
        <v>MONILABORATO</v>
      </c>
      <c r="B278" s="6">
        <v>1</v>
      </c>
      <c r="C278" s="3" t="s">
        <v>341</v>
      </c>
      <c r="D278" s="14" t="s">
        <v>1</v>
      </c>
      <c r="E278" s="14" t="s">
        <v>12</v>
      </c>
      <c r="F278" s="14" t="s">
        <v>421</v>
      </c>
      <c r="G278" s="13" t="s">
        <v>422</v>
      </c>
      <c r="H278" s="14" t="s">
        <v>28</v>
      </c>
      <c r="I278" s="6" t="s">
        <v>3</v>
      </c>
      <c r="J278" s="3" t="s">
        <v>372</v>
      </c>
      <c r="K278" s="21">
        <v>100</v>
      </c>
      <c r="L278" s="24">
        <v>45288</v>
      </c>
    </row>
    <row r="279" spans="1:12" x14ac:dyDescent="0.25">
      <c r="A279" s="3" t="str">
        <f t="shared" si="8"/>
        <v>TECLLABORATO</v>
      </c>
      <c r="B279" s="6">
        <v>1</v>
      </c>
      <c r="C279" s="3" t="s">
        <v>342</v>
      </c>
      <c r="D279" s="14" t="s">
        <v>1</v>
      </c>
      <c r="E279" s="14" t="s">
        <v>14</v>
      </c>
      <c r="F279" s="14" t="s">
        <v>132</v>
      </c>
      <c r="G279" s="13" t="s">
        <v>423</v>
      </c>
      <c r="H279" s="14" t="s">
        <v>28</v>
      </c>
      <c r="I279" s="6" t="s">
        <v>3</v>
      </c>
      <c r="J279" s="3" t="s">
        <v>572</v>
      </c>
      <c r="K279" s="21">
        <v>10</v>
      </c>
      <c r="L279" s="24">
        <v>45288</v>
      </c>
    </row>
    <row r="280" spans="1:12" x14ac:dyDescent="0.25">
      <c r="A280" s="3" t="str">
        <f t="shared" si="8"/>
        <v>MOUSLABORATO</v>
      </c>
      <c r="B280" s="6">
        <v>1</v>
      </c>
      <c r="C280" s="3" t="s">
        <v>343</v>
      </c>
      <c r="D280" s="14" t="s">
        <v>261</v>
      </c>
      <c r="E280" s="14" t="s">
        <v>14</v>
      </c>
      <c r="F280" s="14" t="s">
        <v>424</v>
      </c>
      <c r="G280" s="13" t="s">
        <v>425</v>
      </c>
      <c r="H280" s="14" t="s">
        <v>28</v>
      </c>
      <c r="I280" s="6" t="s">
        <v>3</v>
      </c>
      <c r="J280" s="3" t="s">
        <v>540</v>
      </c>
      <c r="K280" s="21">
        <v>6</v>
      </c>
      <c r="L280" s="24">
        <v>45288</v>
      </c>
    </row>
    <row r="281" spans="1:12" x14ac:dyDescent="0.25">
      <c r="A281" s="3" t="str">
        <f t="shared" si="8"/>
        <v>CPU-LABORATO</v>
      </c>
      <c r="B281" s="6">
        <v>1</v>
      </c>
      <c r="C281" s="3" t="s">
        <v>344</v>
      </c>
      <c r="D281" s="14" t="s">
        <v>1</v>
      </c>
      <c r="E281" s="14" t="s">
        <v>13</v>
      </c>
      <c r="F281" s="14" t="s">
        <v>81</v>
      </c>
      <c r="G281" s="13" t="s">
        <v>83</v>
      </c>
      <c r="H281" s="14" t="s">
        <v>28</v>
      </c>
      <c r="I281" s="6" t="s">
        <v>3</v>
      </c>
      <c r="J281" s="3" t="s">
        <v>426</v>
      </c>
      <c r="K281" s="21">
        <v>250</v>
      </c>
      <c r="L281" s="24">
        <v>45288</v>
      </c>
    </row>
    <row r="282" spans="1:12" x14ac:dyDescent="0.25">
      <c r="A282" s="3" t="str">
        <f t="shared" si="8"/>
        <v>MONILABORATO</v>
      </c>
      <c r="B282" s="6">
        <v>1</v>
      </c>
      <c r="C282" s="3" t="s">
        <v>345</v>
      </c>
      <c r="D282" s="14" t="s">
        <v>1</v>
      </c>
      <c r="E282" s="14" t="s">
        <v>5</v>
      </c>
      <c r="F282" s="14" t="s">
        <v>212</v>
      </c>
      <c r="G282" s="13" t="s">
        <v>427</v>
      </c>
      <c r="H282" s="14" t="s">
        <v>28</v>
      </c>
      <c r="I282" s="6" t="s">
        <v>3</v>
      </c>
      <c r="J282" s="3" t="s">
        <v>372</v>
      </c>
      <c r="K282" s="21">
        <v>60</v>
      </c>
      <c r="L282" s="24">
        <v>45288</v>
      </c>
    </row>
    <row r="283" spans="1:12" x14ac:dyDescent="0.25">
      <c r="A283" s="3" t="str">
        <f t="shared" si="8"/>
        <v>TECLLABORATO</v>
      </c>
      <c r="B283" s="6">
        <v>1</v>
      </c>
      <c r="C283" s="3" t="s">
        <v>346</v>
      </c>
      <c r="D283" s="14" t="s">
        <v>1</v>
      </c>
      <c r="E283" s="14" t="s">
        <v>14</v>
      </c>
      <c r="F283" s="14" t="s">
        <v>428</v>
      </c>
      <c r="G283" s="13" t="s">
        <v>429</v>
      </c>
      <c r="H283" s="14" t="s">
        <v>28</v>
      </c>
      <c r="I283" s="6" t="s">
        <v>3</v>
      </c>
      <c r="J283" s="3" t="s">
        <v>572</v>
      </c>
      <c r="K283" s="21">
        <v>10</v>
      </c>
      <c r="L283" s="24">
        <v>45288</v>
      </c>
    </row>
    <row r="284" spans="1:12" x14ac:dyDescent="0.25">
      <c r="A284" s="3" t="str">
        <f t="shared" si="8"/>
        <v>MOUSLABORATO</v>
      </c>
      <c r="B284" s="6">
        <v>1</v>
      </c>
      <c r="C284" s="3" t="s">
        <v>347</v>
      </c>
      <c r="D284" s="14" t="s">
        <v>1</v>
      </c>
      <c r="E284" s="14" t="s">
        <v>14</v>
      </c>
      <c r="F284" s="14" t="s">
        <v>143</v>
      </c>
      <c r="G284" s="13" t="s">
        <v>430</v>
      </c>
      <c r="H284" s="14" t="s">
        <v>28</v>
      </c>
      <c r="I284" s="6" t="s">
        <v>3</v>
      </c>
      <c r="J284" s="3" t="s">
        <v>540</v>
      </c>
      <c r="K284" s="21">
        <v>6</v>
      </c>
      <c r="L284" s="24">
        <v>45288</v>
      </c>
    </row>
    <row r="285" spans="1:12" x14ac:dyDescent="0.25">
      <c r="A285" s="3" t="str">
        <f t="shared" si="8"/>
        <v>CPU-LABORATO</v>
      </c>
      <c r="B285" s="6">
        <v>1</v>
      </c>
      <c r="C285" s="3" t="s">
        <v>348</v>
      </c>
      <c r="D285" s="14" t="s">
        <v>1</v>
      </c>
      <c r="E285" s="14" t="s">
        <v>25</v>
      </c>
      <c r="F285" s="14" t="s">
        <v>81</v>
      </c>
      <c r="G285" s="13" t="s">
        <v>83</v>
      </c>
      <c r="H285" s="14" t="s">
        <v>28</v>
      </c>
      <c r="I285" s="6" t="s">
        <v>3</v>
      </c>
      <c r="J285" s="3" t="s">
        <v>431</v>
      </c>
      <c r="K285" s="21">
        <v>250</v>
      </c>
      <c r="L285" s="24">
        <v>45288</v>
      </c>
    </row>
    <row r="286" spans="1:12" x14ac:dyDescent="0.25">
      <c r="A286" s="3" t="str">
        <f t="shared" si="8"/>
        <v>MONILABORATO</v>
      </c>
      <c r="B286" s="6">
        <v>1</v>
      </c>
      <c r="C286" s="3" t="s">
        <v>349</v>
      </c>
      <c r="D286" s="14" t="s">
        <v>1</v>
      </c>
      <c r="E286" s="14" t="s">
        <v>5</v>
      </c>
      <c r="F286" s="14" t="s">
        <v>212</v>
      </c>
      <c r="G286" s="13" t="s">
        <v>36</v>
      </c>
      <c r="H286" s="14" t="s">
        <v>28</v>
      </c>
      <c r="I286" s="6" t="s">
        <v>3</v>
      </c>
      <c r="J286" s="3" t="s">
        <v>372</v>
      </c>
      <c r="K286" s="21">
        <v>60</v>
      </c>
      <c r="L286" s="24">
        <v>45288</v>
      </c>
    </row>
    <row r="287" spans="1:12" x14ac:dyDescent="0.25">
      <c r="A287" s="3" t="str">
        <f t="shared" si="8"/>
        <v>TECLLABORATO</v>
      </c>
      <c r="B287" s="6">
        <v>1</v>
      </c>
      <c r="C287" s="3" t="s">
        <v>350</v>
      </c>
      <c r="D287" s="14" t="s">
        <v>1</v>
      </c>
      <c r="E287" s="14" t="s">
        <v>13</v>
      </c>
      <c r="F287" s="14" t="s">
        <v>116</v>
      </c>
      <c r="G287" s="13" t="s">
        <v>432</v>
      </c>
      <c r="H287" s="14" t="s">
        <v>28</v>
      </c>
      <c r="I287" s="6" t="s">
        <v>3</v>
      </c>
      <c r="J287" s="3" t="s">
        <v>571</v>
      </c>
      <c r="K287" s="21">
        <v>17</v>
      </c>
      <c r="L287" s="24">
        <v>45288</v>
      </c>
    </row>
    <row r="288" spans="1:12" x14ac:dyDescent="0.25">
      <c r="A288" s="3" t="str">
        <f t="shared" si="8"/>
        <v>MOUSLABORATO</v>
      </c>
      <c r="B288" s="6">
        <v>1</v>
      </c>
      <c r="C288" s="3" t="s">
        <v>351</v>
      </c>
      <c r="D288" s="14" t="s">
        <v>1</v>
      </c>
      <c r="E288" s="14" t="s">
        <v>14</v>
      </c>
      <c r="F288" s="14" t="s">
        <v>433</v>
      </c>
      <c r="G288" s="13" t="s">
        <v>133</v>
      </c>
      <c r="H288" s="14" t="s">
        <v>28</v>
      </c>
      <c r="I288" s="6" t="s">
        <v>3</v>
      </c>
      <c r="J288" s="3" t="s">
        <v>540</v>
      </c>
      <c r="K288" s="21">
        <v>6</v>
      </c>
      <c r="L288" s="24">
        <v>45288</v>
      </c>
    </row>
    <row r="289" spans="1:12" x14ac:dyDescent="0.25">
      <c r="A289" s="3" t="str">
        <f t="shared" si="8"/>
        <v>CPU-LABORATO</v>
      </c>
      <c r="B289" s="6">
        <v>1</v>
      </c>
      <c r="C289" s="3" t="s">
        <v>352</v>
      </c>
      <c r="D289" s="14" t="s">
        <v>1</v>
      </c>
      <c r="E289" s="14" t="s">
        <v>13</v>
      </c>
      <c r="F289" s="14" t="s">
        <v>81</v>
      </c>
      <c r="G289" s="13" t="s">
        <v>83</v>
      </c>
      <c r="H289" s="14" t="s">
        <v>28</v>
      </c>
      <c r="I289" s="6" t="s">
        <v>3</v>
      </c>
      <c r="J289" s="3" t="s">
        <v>420</v>
      </c>
      <c r="K289" s="21">
        <v>250</v>
      </c>
      <c r="L289" s="24">
        <v>45288</v>
      </c>
    </row>
    <row r="290" spans="1:12" x14ac:dyDescent="0.25">
      <c r="A290" s="3" t="str">
        <f t="shared" si="8"/>
        <v>MONILABORATO</v>
      </c>
      <c r="B290" s="6">
        <v>1</v>
      </c>
      <c r="C290" s="3" t="s">
        <v>353</v>
      </c>
      <c r="D290" s="14" t="s">
        <v>1</v>
      </c>
      <c r="E290" s="14" t="s">
        <v>5</v>
      </c>
      <c r="F290" s="14" t="s">
        <v>434</v>
      </c>
      <c r="G290" s="13" t="s">
        <v>435</v>
      </c>
      <c r="H290" s="14" t="s">
        <v>28</v>
      </c>
      <c r="I290" s="6" t="s">
        <v>3</v>
      </c>
      <c r="J290" s="3" t="s">
        <v>372</v>
      </c>
      <c r="K290" s="21">
        <v>60</v>
      </c>
      <c r="L290" s="24">
        <v>45288</v>
      </c>
    </row>
    <row r="291" spans="1:12" x14ac:dyDescent="0.25">
      <c r="A291" s="3" t="str">
        <f t="shared" si="8"/>
        <v>TECLLABORATO</v>
      </c>
      <c r="B291" s="6">
        <v>1</v>
      </c>
      <c r="C291" s="3" t="s">
        <v>354</v>
      </c>
      <c r="D291" s="14" t="s">
        <v>1</v>
      </c>
      <c r="E291" s="14" t="s">
        <v>13</v>
      </c>
      <c r="F291" s="14" t="s">
        <v>116</v>
      </c>
      <c r="G291" s="13" t="s">
        <v>436</v>
      </c>
      <c r="H291" s="14" t="s">
        <v>28</v>
      </c>
      <c r="I291" s="6" t="s">
        <v>3</v>
      </c>
      <c r="J291" s="3" t="s">
        <v>571</v>
      </c>
      <c r="K291" s="21">
        <v>17</v>
      </c>
      <c r="L291" s="24">
        <v>45288</v>
      </c>
    </row>
    <row r="292" spans="1:12" x14ac:dyDescent="0.25">
      <c r="A292" s="3" t="str">
        <f t="shared" si="8"/>
        <v>MOUSLABORATO</v>
      </c>
      <c r="B292" s="6">
        <v>1</v>
      </c>
      <c r="C292" s="3" t="s">
        <v>355</v>
      </c>
      <c r="D292" s="14" t="s">
        <v>1</v>
      </c>
      <c r="E292" s="14" t="s">
        <v>14</v>
      </c>
      <c r="F292" s="14" t="s">
        <v>433</v>
      </c>
      <c r="G292" s="13" t="s">
        <v>437</v>
      </c>
      <c r="H292" s="14" t="s">
        <v>28</v>
      </c>
      <c r="I292" s="6" t="s">
        <v>3</v>
      </c>
      <c r="J292" s="3" t="s">
        <v>540</v>
      </c>
      <c r="K292" s="21">
        <v>6</v>
      </c>
      <c r="L292" s="24">
        <v>45288</v>
      </c>
    </row>
    <row r="293" spans="1:12" x14ac:dyDescent="0.25">
      <c r="A293" s="3" t="str">
        <f t="shared" si="8"/>
        <v>CPU-LABORATO</v>
      </c>
      <c r="B293" s="6">
        <v>1</v>
      </c>
      <c r="C293" s="3" t="s">
        <v>356</v>
      </c>
      <c r="D293" s="14" t="s">
        <v>1</v>
      </c>
      <c r="E293" s="14" t="s">
        <v>13</v>
      </c>
      <c r="F293" s="14" t="s">
        <v>81</v>
      </c>
      <c r="G293" s="13" t="s">
        <v>83</v>
      </c>
      <c r="H293" s="14" t="s">
        <v>28</v>
      </c>
      <c r="I293" s="6" t="s">
        <v>3</v>
      </c>
      <c r="J293" s="3" t="s">
        <v>413</v>
      </c>
      <c r="K293" s="21">
        <v>250</v>
      </c>
      <c r="L293" s="24">
        <v>45288</v>
      </c>
    </row>
    <row r="294" spans="1:12" x14ac:dyDescent="0.25">
      <c r="A294" s="3" t="str">
        <f t="shared" si="8"/>
        <v>MONILABORATO</v>
      </c>
      <c r="B294" s="6">
        <v>1</v>
      </c>
      <c r="C294" s="3" t="s">
        <v>357</v>
      </c>
      <c r="D294" s="14" t="s">
        <v>1</v>
      </c>
      <c r="E294" s="14" t="s">
        <v>17</v>
      </c>
      <c r="F294" s="14" t="s">
        <v>438</v>
      </c>
      <c r="G294" s="13" t="s">
        <v>439</v>
      </c>
      <c r="H294" s="14" t="s">
        <v>28</v>
      </c>
      <c r="I294" s="6" t="s">
        <v>3</v>
      </c>
      <c r="J294" s="3" t="s">
        <v>372</v>
      </c>
      <c r="K294" s="21">
        <v>60</v>
      </c>
      <c r="L294" s="24">
        <v>45288</v>
      </c>
    </row>
    <row r="295" spans="1:12" x14ac:dyDescent="0.25">
      <c r="A295" s="3" t="str">
        <f t="shared" si="8"/>
        <v>TECLLABORATO</v>
      </c>
      <c r="B295" s="6">
        <v>1</v>
      </c>
      <c r="C295" s="3" t="s">
        <v>360</v>
      </c>
      <c r="D295" s="14" t="s">
        <v>440</v>
      </c>
      <c r="E295" s="14" t="s">
        <v>25</v>
      </c>
      <c r="F295" s="14" t="s">
        <v>81</v>
      </c>
      <c r="G295" s="13" t="s">
        <v>441</v>
      </c>
      <c r="H295" s="14" t="s">
        <v>28</v>
      </c>
      <c r="I295" s="6" t="s">
        <v>3</v>
      </c>
      <c r="J295" s="3" t="s">
        <v>571</v>
      </c>
      <c r="K295" s="21">
        <v>17</v>
      </c>
      <c r="L295" s="24">
        <v>45288</v>
      </c>
    </row>
    <row r="296" spans="1:12" x14ac:dyDescent="0.25">
      <c r="A296" s="3" t="str">
        <f t="shared" si="8"/>
        <v>MOUSLABORATO</v>
      </c>
      <c r="B296" s="6">
        <v>1</v>
      </c>
      <c r="C296" s="3" t="s">
        <v>361</v>
      </c>
      <c r="D296" s="14" t="s">
        <v>1</v>
      </c>
      <c r="E296" s="14" t="s">
        <v>442</v>
      </c>
      <c r="F296" s="14" t="s">
        <v>81</v>
      </c>
      <c r="G296" s="13" t="s">
        <v>83</v>
      </c>
      <c r="H296" s="14" t="s">
        <v>28</v>
      </c>
      <c r="I296" s="6" t="s">
        <v>3</v>
      </c>
      <c r="J296" s="3" t="s">
        <v>545</v>
      </c>
      <c r="K296" s="21">
        <v>6</v>
      </c>
      <c r="L296" s="24">
        <v>45288</v>
      </c>
    </row>
    <row r="297" spans="1:12" x14ac:dyDescent="0.25">
      <c r="A297" s="3" t="str">
        <f t="shared" si="8"/>
        <v>CPU-LABORATO</v>
      </c>
      <c r="B297" s="6">
        <v>1</v>
      </c>
      <c r="C297" s="3" t="s">
        <v>362</v>
      </c>
      <c r="D297" s="14" t="s">
        <v>249</v>
      </c>
      <c r="E297" s="14" t="s">
        <v>25</v>
      </c>
      <c r="F297" s="14" t="s">
        <v>81</v>
      </c>
      <c r="G297" s="13" t="s">
        <v>454</v>
      </c>
      <c r="H297" s="14" t="s">
        <v>28</v>
      </c>
      <c r="I297" s="6" t="s">
        <v>3</v>
      </c>
      <c r="J297" s="3" t="s">
        <v>443</v>
      </c>
      <c r="K297" s="21">
        <v>250</v>
      </c>
      <c r="L297" s="24">
        <v>45288</v>
      </c>
    </row>
    <row r="298" spans="1:12" x14ac:dyDescent="0.25">
      <c r="A298" s="3" t="str">
        <f t="shared" si="8"/>
        <v>MONILABORATO</v>
      </c>
      <c r="B298" s="6">
        <v>1</v>
      </c>
      <c r="C298" s="3" t="s">
        <v>363</v>
      </c>
      <c r="D298" s="14" t="s">
        <v>1</v>
      </c>
      <c r="E298" s="14" t="s">
        <v>5</v>
      </c>
      <c r="F298" s="14" t="s">
        <v>212</v>
      </c>
      <c r="G298" s="13" t="s">
        <v>38</v>
      </c>
      <c r="H298" s="14" t="s">
        <v>28</v>
      </c>
      <c r="I298" s="6" t="s">
        <v>3</v>
      </c>
      <c r="J298" s="3" t="s">
        <v>372</v>
      </c>
      <c r="K298" s="21">
        <v>60</v>
      </c>
      <c r="L298" s="24">
        <v>45288</v>
      </c>
    </row>
    <row r="299" spans="1:12" x14ac:dyDescent="0.25">
      <c r="A299" s="3" t="str">
        <f t="shared" si="8"/>
        <v>TECLLABORATO</v>
      </c>
      <c r="B299" s="6">
        <v>1</v>
      </c>
      <c r="C299" s="3" t="s">
        <v>358</v>
      </c>
      <c r="D299" s="14" t="s">
        <v>1</v>
      </c>
      <c r="E299" s="14" t="s">
        <v>14</v>
      </c>
      <c r="F299" s="14" t="s">
        <v>132</v>
      </c>
      <c r="G299" s="13" t="s">
        <v>444</v>
      </c>
      <c r="H299" s="14" t="s">
        <v>28</v>
      </c>
      <c r="I299" s="6" t="s">
        <v>3</v>
      </c>
      <c r="J299" s="3" t="s">
        <v>572</v>
      </c>
      <c r="K299" s="21">
        <v>10</v>
      </c>
      <c r="L299" s="24">
        <v>45288</v>
      </c>
    </row>
    <row r="300" spans="1:12" x14ac:dyDescent="0.25">
      <c r="A300" s="3" t="str">
        <f t="shared" ref="A300:A373" si="9">CONCATENATE(LEFT(C300,4),LEFT(H300,8))</f>
        <v>MOUSLABORATO</v>
      </c>
      <c r="B300" s="6">
        <v>1</v>
      </c>
      <c r="C300" s="3" t="s">
        <v>359</v>
      </c>
      <c r="D300" s="14" t="s">
        <v>261</v>
      </c>
      <c r="E300" s="14" t="s">
        <v>13</v>
      </c>
      <c r="F300" s="14" t="s">
        <v>395</v>
      </c>
      <c r="G300" s="13" t="s">
        <v>445</v>
      </c>
      <c r="H300" s="14" t="s">
        <v>28</v>
      </c>
      <c r="I300" s="6" t="s">
        <v>3</v>
      </c>
      <c r="J300" s="3" t="s">
        <v>543</v>
      </c>
      <c r="K300" s="21">
        <v>5</v>
      </c>
      <c r="L300" s="24">
        <v>45288</v>
      </c>
    </row>
    <row r="301" spans="1:12" x14ac:dyDescent="0.25">
      <c r="A301" s="3" t="str">
        <f t="shared" si="9"/>
        <v>CPU-LABORATO</v>
      </c>
      <c r="B301" s="6">
        <v>1</v>
      </c>
      <c r="C301" s="3" t="s">
        <v>364</v>
      </c>
      <c r="D301" s="14" t="s">
        <v>1</v>
      </c>
      <c r="E301" s="14" t="s">
        <v>13</v>
      </c>
      <c r="F301" s="14" t="s">
        <v>81</v>
      </c>
      <c r="G301" s="13" t="s">
        <v>83</v>
      </c>
      <c r="H301" s="14" t="s">
        <v>28</v>
      </c>
      <c r="I301" s="6" t="s">
        <v>3</v>
      </c>
      <c r="J301" s="3" t="s">
        <v>413</v>
      </c>
      <c r="K301" s="21">
        <v>250</v>
      </c>
      <c r="L301" s="24">
        <v>45288</v>
      </c>
    </row>
    <row r="302" spans="1:12" x14ac:dyDescent="0.25">
      <c r="A302" s="3" t="str">
        <f t="shared" si="9"/>
        <v>MONILABORATO</v>
      </c>
      <c r="B302" s="6">
        <v>1</v>
      </c>
      <c r="C302" s="3" t="s">
        <v>365</v>
      </c>
      <c r="D302" s="14" t="s">
        <v>1</v>
      </c>
      <c r="E302" s="14" t="s">
        <v>5</v>
      </c>
      <c r="F302" s="14" t="s">
        <v>212</v>
      </c>
      <c r="G302" s="13" t="s">
        <v>35</v>
      </c>
      <c r="H302" s="14" t="s">
        <v>28</v>
      </c>
      <c r="I302" s="6" t="s">
        <v>3</v>
      </c>
      <c r="J302" s="3" t="s">
        <v>372</v>
      </c>
      <c r="K302" s="21">
        <v>60</v>
      </c>
      <c r="L302" s="24">
        <v>45288</v>
      </c>
    </row>
    <row r="303" spans="1:12" x14ac:dyDescent="0.25">
      <c r="A303" s="3" t="str">
        <f t="shared" si="9"/>
        <v>TECLLABORATO</v>
      </c>
      <c r="B303" s="6">
        <v>1</v>
      </c>
      <c r="C303" s="3" t="s">
        <v>366</v>
      </c>
      <c r="D303" s="14" t="s">
        <v>1</v>
      </c>
      <c r="E303" s="14" t="s">
        <v>14</v>
      </c>
      <c r="F303" s="14" t="s">
        <v>132</v>
      </c>
      <c r="G303" s="13" t="s">
        <v>446</v>
      </c>
      <c r="H303" s="14" t="s">
        <v>28</v>
      </c>
      <c r="I303" s="6" t="s">
        <v>3</v>
      </c>
      <c r="J303" s="3" t="s">
        <v>572</v>
      </c>
      <c r="K303" s="21">
        <v>10</v>
      </c>
      <c r="L303" s="24">
        <v>45288</v>
      </c>
    </row>
    <row r="304" spans="1:12" x14ac:dyDescent="0.25">
      <c r="A304" s="3" t="str">
        <f t="shared" si="9"/>
        <v>MOUSLABORATO</v>
      </c>
      <c r="B304" s="6">
        <v>1</v>
      </c>
      <c r="C304" s="3" t="s">
        <v>367</v>
      </c>
      <c r="D304" s="14" t="s">
        <v>1</v>
      </c>
      <c r="E304" s="14" t="s">
        <v>25</v>
      </c>
      <c r="F304" s="14" t="s">
        <v>85</v>
      </c>
      <c r="G304" s="13" t="s">
        <v>453</v>
      </c>
      <c r="H304" s="14" t="s">
        <v>28</v>
      </c>
      <c r="I304" s="6" t="s">
        <v>3</v>
      </c>
      <c r="J304" s="3" t="s">
        <v>546</v>
      </c>
      <c r="K304" s="21">
        <v>6</v>
      </c>
      <c r="L304" s="24">
        <v>45288</v>
      </c>
    </row>
    <row r="305" spans="1:12" x14ac:dyDescent="0.25">
      <c r="A305" s="3" t="str">
        <f t="shared" si="9"/>
        <v>CPU-LABORATO</v>
      </c>
      <c r="B305" s="6">
        <v>1</v>
      </c>
      <c r="C305" s="3" t="s">
        <v>368</v>
      </c>
      <c r="D305" s="14" t="s">
        <v>1</v>
      </c>
      <c r="E305" s="14" t="s">
        <v>2</v>
      </c>
      <c r="F305" s="14" t="s">
        <v>447</v>
      </c>
      <c r="G305" s="13">
        <v>81979</v>
      </c>
      <c r="H305" s="14" t="s">
        <v>28</v>
      </c>
      <c r="I305" s="6" t="s">
        <v>3</v>
      </c>
      <c r="J305" s="3" t="s">
        <v>448</v>
      </c>
      <c r="K305" s="21">
        <v>250</v>
      </c>
      <c r="L305" s="24">
        <v>45288</v>
      </c>
    </row>
    <row r="306" spans="1:12" x14ac:dyDescent="0.25">
      <c r="A306" s="3" t="str">
        <f t="shared" si="9"/>
        <v>MONILABORATO</v>
      </c>
      <c r="B306" s="6">
        <v>1</v>
      </c>
      <c r="C306" s="3" t="s">
        <v>369</v>
      </c>
      <c r="D306" s="14" t="s">
        <v>1</v>
      </c>
      <c r="E306" s="14" t="s">
        <v>5</v>
      </c>
      <c r="F306" s="14" t="s">
        <v>212</v>
      </c>
      <c r="G306" s="13" t="s">
        <v>37</v>
      </c>
      <c r="H306" s="14" t="s">
        <v>28</v>
      </c>
      <c r="I306" s="6" t="s">
        <v>3</v>
      </c>
      <c r="J306" s="3" t="s">
        <v>372</v>
      </c>
      <c r="K306" s="21">
        <v>60</v>
      </c>
      <c r="L306" s="24">
        <v>45288</v>
      </c>
    </row>
    <row r="307" spans="1:12" x14ac:dyDescent="0.25">
      <c r="A307" s="3" t="str">
        <f t="shared" si="9"/>
        <v>TECLLABORATO</v>
      </c>
      <c r="B307" s="6">
        <v>1</v>
      </c>
      <c r="C307" s="3" t="s">
        <v>370</v>
      </c>
      <c r="D307" s="14" t="s">
        <v>1</v>
      </c>
      <c r="E307" s="14" t="s">
        <v>13</v>
      </c>
      <c r="F307" s="14" t="s">
        <v>116</v>
      </c>
      <c r="G307" s="13" t="s">
        <v>449</v>
      </c>
      <c r="H307" s="14" t="s">
        <v>28</v>
      </c>
      <c r="I307" s="6" t="s">
        <v>3</v>
      </c>
      <c r="J307" s="3" t="s">
        <v>571</v>
      </c>
      <c r="K307" s="21">
        <v>17</v>
      </c>
      <c r="L307" s="24">
        <v>45288</v>
      </c>
    </row>
    <row r="308" spans="1:12" x14ac:dyDescent="0.25">
      <c r="A308" s="3" t="str">
        <f t="shared" si="9"/>
        <v>MOUSLABORATO</v>
      </c>
      <c r="B308" s="6">
        <v>1</v>
      </c>
      <c r="C308" s="3" t="s">
        <v>371</v>
      </c>
      <c r="D308" s="14" t="s">
        <v>1</v>
      </c>
      <c r="E308" s="14" t="s">
        <v>14</v>
      </c>
      <c r="F308" s="14" t="s">
        <v>417</v>
      </c>
      <c r="G308" s="13" t="s">
        <v>450</v>
      </c>
      <c r="H308" s="14" t="s">
        <v>28</v>
      </c>
      <c r="I308" s="6" t="s">
        <v>3</v>
      </c>
      <c r="J308" s="3" t="s">
        <v>540</v>
      </c>
      <c r="K308" s="21">
        <v>6</v>
      </c>
      <c r="L308" s="24">
        <v>45288</v>
      </c>
    </row>
    <row r="309" spans="1:12" x14ac:dyDescent="0.25">
      <c r="A309" s="3" t="str">
        <f t="shared" si="9"/>
        <v>CAMALABORATO</v>
      </c>
      <c r="B309" s="6">
        <v>1</v>
      </c>
      <c r="C309" s="3" t="s">
        <v>92</v>
      </c>
      <c r="D309" s="14" t="s">
        <v>9</v>
      </c>
      <c r="E309" s="14" t="s">
        <v>53</v>
      </c>
      <c r="F309" s="14" t="s">
        <v>85</v>
      </c>
      <c r="G309" s="13" t="s">
        <v>83</v>
      </c>
      <c r="H309" s="14" t="s">
        <v>28</v>
      </c>
      <c r="I309" s="6" t="s">
        <v>3</v>
      </c>
      <c r="J309" s="3" t="s">
        <v>93</v>
      </c>
      <c r="K309" s="21">
        <v>25</v>
      </c>
      <c r="L309" s="24">
        <v>44841</v>
      </c>
    </row>
    <row r="310" spans="1:12" x14ac:dyDescent="0.25">
      <c r="A310" s="3" t="str">
        <f t="shared" si="9"/>
        <v>REGULABORATO</v>
      </c>
      <c r="B310" s="6">
        <v>1</v>
      </c>
      <c r="C310" s="3" t="s">
        <v>373</v>
      </c>
      <c r="D310" s="14" t="s">
        <v>158</v>
      </c>
      <c r="E310" s="14" t="s">
        <v>40</v>
      </c>
      <c r="F310" s="14" t="s">
        <v>451</v>
      </c>
      <c r="G310" s="13" t="s">
        <v>452</v>
      </c>
      <c r="H310" s="14" t="s">
        <v>28</v>
      </c>
      <c r="I310" s="6" t="s">
        <v>3</v>
      </c>
      <c r="J310" s="3" t="s">
        <v>250</v>
      </c>
      <c r="K310" s="21">
        <v>18</v>
      </c>
      <c r="L310" s="24">
        <v>45288</v>
      </c>
    </row>
    <row r="311" spans="1:12" x14ac:dyDescent="0.25">
      <c r="A311" s="3" t="str">
        <f t="shared" si="9"/>
        <v>REGULABORATO</v>
      </c>
      <c r="B311" s="6">
        <v>1</v>
      </c>
      <c r="C311" s="3" t="s">
        <v>374</v>
      </c>
      <c r="D311" s="14" t="s">
        <v>158</v>
      </c>
      <c r="E311" s="14" t="s">
        <v>40</v>
      </c>
      <c r="F311" s="14" t="s">
        <v>451</v>
      </c>
      <c r="G311" s="13" t="s">
        <v>455</v>
      </c>
      <c r="H311" s="14" t="s">
        <v>28</v>
      </c>
      <c r="I311" s="6" t="s">
        <v>3</v>
      </c>
      <c r="J311" s="3" t="s">
        <v>250</v>
      </c>
      <c r="K311" s="21">
        <v>18</v>
      </c>
      <c r="L311" s="24">
        <v>45288</v>
      </c>
    </row>
    <row r="312" spans="1:12" x14ac:dyDescent="0.25">
      <c r="A312" s="3" t="str">
        <f t="shared" si="9"/>
        <v>REGULABORATO</v>
      </c>
      <c r="B312" s="6">
        <v>1</v>
      </c>
      <c r="C312" s="3" t="s">
        <v>375</v>
      </c>
      <c r="D312" s="14" t="s">
        <v>456</v>
      </c>
      <c r="E312" s="14" t="s">
        <v>40</v>
      </c>
      <c r="F312" s="14" t="s">
        <v>451</v>
      </c>
      <c r="G312" s="13" t="s">
        <v>457</v>
      </c>
      <c r="H312" s="14" t="s">
        <v>28</v>
      </c>
      <c r="I312" s="6" t="s">
        <v>3</v>
      </c>
      <c r="J312" s="3" t="s">
        <v>250</v>
      </c>
      <c r="K312" s="21">
        <v>18</v>
      </c>
      <c r="L312" s="24">
        <v>45288</v>
      </c>
    </row>
    <row r="313" spans="1:12" x14ac:dyDescent="0.25">
      <c r="A313" s="3" t="str">
        <f t="shared" si="9"/>
        <v>REGULABORATO</v>
      </c>
      <c r="B313" s="6">
        <v>1</v>
      </c>
      <c r="C313" s="3" t="s">
        <v>376</v>
      </c>
      <c r="D313" s="14" t="s">
        <v>456</v>
      </c>
      <c r="E313" s="14" t="s">
        <v>40</v>
      </c>
      <c r="F313" s="14" t="s">
        <v>451</v>
      </c>
      <c r="G313" s="13" t="s">
        <v>458</v>
      </c>
      <c r="H313" s="14" t="s">
        <v>28</v>
      </c>
      <c r="I313" s="6" t="s">
        <v>3</v>
      </c>
      <c r="J313" s="3" t="s">
        <v>250</v>
      </c>
      <c r="K313" s="21">
        <v>18</v>
      </c>
      <c r="L313" s="24">
        <v>45288</v>
      </c>
    </row>
    <row r="314" spans="1:12" x14ac:dyDescent="0.25">
      <c r="A314" s="3" t="str">
        <f t="shared" si="9"/>
        <v>REGULABORATO</v>
      </c>
      <c r="B314" s="6">
        <v>1</v>
      </c>
      <c r="C314" s="3" t="s">
        <v>377</v>
      </c>
      <c r="D314" s="14" t="s">
        <v>459</v>
      </c>
      <c r="E314" s="14" t="s">
        <v>40</v>
      </c>
      <c r="F314" s="14" t="s">
        <v>451</v>
      </c>
      <c r="G314" s="13" t="s">
        <v>460</v>
      </c>
      <c r="H314" s="14" t="s">
        <v>28</v>
      </c>
      <c r="I314" s="6" t="s">
        <v>3</v>
      </c>
      <c r="J314" s="3" t="s">
        <v>250</v>
      </c>
      <c r="K314" s="21">
        <v>18</v>
      </c>
      <c r="L314" s="24">
        <v>45288</v>
      </c>
    </row>
    <row r="315" spans="1:12" x14ac:dyDescent="0.25">
      <c r="A315" s="3" t="str">
        <f t="shared" si="9"/>
        <v>REGULABORATO</v>
      </c>
      <c r="B315" s="6">
        <v>1</v>
      </c>
      <c r="C315" s="3" t="s">
        <v>378</v>
      </c>
      <c r="D315" s="14" t="s">
        <v>158</v>
      </c>
      <c r="E315" s="14" t="s">
        <v>40</v>
      </c>
      <c r="F315" s="14" t="s">
        <v>451</v>
      </c>
      <c r="G315" s="13" t="s">
        <v>475</v>
      </c>
      <c r="H315" s="14" t="s">
        <v>28</v>
      </c>
      <c r="I315" s="6" t="s">
        <v>3</v>
      </c>
      <c r="J315" s="3" t="s">
        <v>250</v>
      </c>
      <c r="K315" s="21">
        <v>18</v>
      </c>
      <c r="L315" s="24">
        <v>45288</v>
      </c>
    </row>
    <row r="316" spans="1:12" x14ac:dyDescent="0.25">
      <c r="A316" s="3" t="str">
        <f t="shared" si="9"/>
        <v>REGULABORATO</v>
      </c>
      <c r="B316" s="6">
        <v>1</v>
      </c>
      <c r="C316" s="3" t="s">
        <v>379</v>
      </c>
      <c r="D316" s="14" t="s">
        <v>459</v>
      </c>
      <c r="E316" s="14" t="s">
        <v>40</v>
      </c>
      <c r="F316" s="14" t="s">
        <v>451</v>
      </c>
      <c r="G316" s="13" t="s">
        <v>461</v>
      </c>
      <c r="H316" s="14" t="s">
        <v>28</v>
      </c>
      <c r="I316" s="6" t="s">
        <v>3</v>
      </c>
      <c r="J316" s="3" t="s">
        <v>250</v>
      </c>
      <c r="K316" s="21">
        <v>18</v>
      </c>
      <c r="L316" s="24">
        <v>45288</v>
      </c>
    </row>
    <row r="317" spans="1:12" x14ac:dyDescent="0.25">
      <c r="A317" s="3" t="str">
        <f t="shared" si="9"/>
        <v>REGULABORATO</v>
      </c>
      <c r="B317" s="6">
        <v>1</v>
      </c>
      <c r="C317" s="3" t="s">
        <v>380</v>
      </c>
      <c r="D317" s="14" t="s">
        <v>158</v>
      </c>
      <c r="E317" s="14" t="s">
        <v>40</v>
      </c>
      <c r="F317" s="14" t="s">
        <v>451</v>
      </c>
      <c r="G317" s="13" t="s">
        <v>462</v>
      </c>
      <c r="H317" s="14" t="s">
        <v>28</v>
      </c>
      <c r="I317" s="6" t="s">
        <v>3</v>
      </c>
      <c r="J317" s="3" t="s">
        <v>250</v>
      </c>
      <c r="K317" s="21">
        <v>18</v>
      </c>
      <c r="L317" s="24">
        <v>45288</v>
      </c>
    </row>
    <row r="318" spans="1:12" x14ac:dyDescent="0.25">
      <c r="A318" s="3" t="str">
        <f t="shared" si="9"/>
        <v>PROYLABORATO</v>
      </c>
      <c r="B318" s="6">
        <v>1</v>
      </c>
      <c r="C318" s="3" t="s">
        <v>45</v>
      </c>
      <c r="D318" s="14" t="s">
        <v>1</v>
      </c>
      <c r="E318" s="14" t="s">
        <v>46</v>
      </c>
      <c r="F318" s="14" t="s">
        <v>86</v>
      </c>
      <c r="G318" s="13" t="s">
        <v>87</v>
      </c>
      <c r="H318" s="14" t="s">
        <v>28</v>
      </c>
      <c r="I318" s="6" t="s">
        <v>3</v>
      </c>
      <c r="J318" s="3" t="s">
        <v>111</v>
      </c>
      <c r="K318" s="21">
        <v>400</v>
      </c>
      <c r="L318" s="24">
        <v>45288</v>
      </c>
    </row>
    <row r="319" spans="1:12" x14ac:dyDescent="0.25">
      <c r="A319" s="3" t="str">
        <f t="shared" si="9"/>
        <v>PARLLABORATO</v>
      </c>
      <c r="B319" s="6">
        <v>1</v>
      </c>
      <c r="C319" s="3" t="s">
        <v>491</v>
      </c>
      <c r="D319" s="14" t="s">
        <v>1</v>
      </c>
      <c r="E319" s="14" t="s">
        <v>88</v>
      </c>
      <c r="F319" s="14" t="s">
        <v>89</v>
      </c>
      <c r="G319" s="13">
        <v>130302753</v>
      </c>
      <c r="H319" s="14" t="s">
        <v>28</v>
      </c>
      <c r="I319" s="6" t="s">
        <v>3</v>
      </c>
      <c r="J319" s="3" t="s">
        <v>112</v>
      </c>
      <c r="K319" s="21">
        <v>103</v>
      </c>
      <c r="L319" s="24">
        <v>45288</v>
      </c>
    </row>
    <row r="320" spans="1:12" x14ac:dyDescent="0.25">
      <c r="A320" s="3" t="str">
        <f t="shared" si="9"/>
        <v>SENSLABORATO</v>
      </c>
      <c r="B320" s="6">
        <v>1</v>
      </c>
      <c r="C320" s="3" t="s">
        <v>19</v>
      </c>
      <c r="D320" s="14" t="s">
        <v>9</v>
      </c>
      <c r="E320" s="14" t="s">
        <v>94</v>
      </c>
      <c r="F320" s="14" t="s">
        <v>95</v>
      </c>
      <c r="G320" s="13">
        <v>88030080</v>
      </c>
      <c r="H320" s="14" t="s">
        <v>28</v>
      </c>
      <c r="I320" s="6" t="s">
        <v>3</v>
      </c>
      <c r="J320" s="3" t="s">
        <v>96</v>
      </c>
      <c r="K320" s="21">
        <v>20</v>
      </c>
      <c r="L320" s="24">
        <v>44841</v>
      </c>
    </row>
    <row r="321" spans="1:12" x14ac:dyDescent="0.25">
      <c r="A321" s="3" t="str">
        <f t="shared" si="9"/>
        <v>SENSLABORATO</v>
      </c>
      <c r="B321" s="6">
        <v>1</v>
      </c>
      <c r="C321" s="3" t="s">
        <v>19</v>
      </c>
      <c r="D321" s="14" t="s">
        <v>9</v>
      </c>
      <c r="E321" s="14" t="s">
        <v>94</v>
      </c>
      <c r="F321" s="14" t="s">
        <v>95</v>
      </c>
      <c r="G321" s="13">
        <v>88030080</v>
      </c>
      <c r="H321" s="14" t="s">
        <v>28</v>
      </c>
      <c r="I321" s="6" t="s">
        <v>3</v>
      </c>
      <c r="J321" s="3" t="s">
        <v>96</v>
      </c>
      <c r="K321" s="21">
        <v>20</v>
      </c>
      <c r="L321" s="24">
        <v>44841</v>
      </c>
    </row>
    <row r="322" spans="1:12" x14ac:dyDescent="0.25">
      <c r="A322" s="3" t="str">
        <f t="shared" si="9"/>
        <v/>
      </c>
      <c r="B322" s="6"/>
      <c r="C322" s="3"/>
      <c r="D322" s="14"/>
      <c r="E322" s="14"/>
      <c r="F322" s="14"/>
      <c r="G322" s="13"/>
      <c r="H322" s="14"/>
      <c r="I322" s="6"/>
      <c r="J322" s="3"/>
      <c r="K322" s="21"/>
      <c r="L322" s="3"/>
    </row>
    <row r="323" spans="1:12" x14ac:dyDescent="0.25">
      <c r="A323" s="3" t="str">
        <f t="shared" si="9"/>
        <v/>
      </c>
      <c r="B323" s="6"/>
      <c r="C323" s="3"/>
      <c r="D323" s="14"/>
      <c r="E323" s="14"/>
      <c r="F323" s="14"/>
      <c r="G323" s="13"/>
      <c r="H323" s="14"/>
      <c r="I323" s="6"/>
      <c r="J323" s="3"/>
      <c r="K323" s="21"/>
      <c r="L323" s="3"/>
    </row>
    <row r="324" spans="1:12" x14ac:dyDescent="0.25">
      <c r="A324" s="3" t="str">
        <f t="shared" si="9"/>
        <v/>
      </c>
      <c r="B324" s="6"/>
      <c r="C324" s="3"/>
      <c r="D324" s="6"/>
      <c r="E324" s="6"/>
      <c r="F324" s="6"/>
      <c r="G324" s="7"/>
      <c r="H324" s="6"/>
      <c r="I324" s="6"/>
      <c r="J324" s="3"/>
      <c r="K324" s="21"/>
      <c r="L324" s="3"/>
    </row>
    <row r="325" spans="1:12" s="1" customFormat="1" x14ac:dyDescent="0.25">
      <c r="A325" s="9" t="s">
        <v>70</v>
      </c>
      <c r="B325" s="9" t="s">
        <v>69</v>
      </c>
      <c r="C325" s="9" t="s">
        <v>71</v>
      </c>
      <c r="D325" s="9" t="s">
        <v>63</v>
      </c>
      <c r="E325" s="9" t="s">
        <v>64</v>
      </c>
      <c r="F325" s="9" t="s">
        <v>65</v>
      </c>
      <c r="G325" s="10"/>
      <c r="H325" s="9" t="s">
        <v>66</v>
      </c>
      <c r="I325" s="9" t="s">
        <v>67</v>
      </c>
      <c r="J325" s="9" t="s">
        <v>72</v>
      </c>
      <c r="K325" s="22" t="s">
        <v>68</v>
      </c>
      <c r="L325" s="9" t="s">
        <v>584</v>
      </c>
    </row>
    <row r="326" spans="1:12" x14ac:dyDescent="0.25">
      <c r="A326" s="3" t="str">
        <f t="shared" si="9"/>
        <v>LÁMPPATIO</v>
      </c>
      <c r="B326" s="6">
        <v>1</v>
      </c>
      <c r="C326" s="3" t="s">
        <v>565</v>
      </c>
      <c r="D326" s="14" t="s">
        <v>9</v>
      </c>
      <c r="E326" s="14" t="s">
        <v>566</v>
      </c>
      <c r="F326" s="14" t="s">
        <v>85</v>
      </c>
      <c r="G326" s="13" t="s">
        <v>83</v>
      </c>
      <c r="H326" s="14" t="s">
        <v>50</v>
      </c>
      <c r="I326" s="6" t="s">
        <v>3</v>
      </c>
      <c r="J326" s="3" t="s">
        <v>567</v>
      </c>
      <c r="K326" s="21">
        <v>25</v>
      </c>
      <c r="L326" s="24">
        <v>44292</v>
      </c>
    </row>
    <row r="327" spans="1:12" x14ac:dyDescent="0.25">
      <c r="A327" s="3" t="str">
        <f t="shared" si="9"/>
        <v>CAMAPATIO</v>
      </c>
      <c r="B327" s="6">
        <v>1</v>
      </c>
      <c r="C327" s="3" t="s">
        <v>92</v>
      </c>
      <c r="D327" s="14" t="s">
        <v>9</v>
      </c>
      <c r="E327" s="14" t="s">
        <v>471</v>
      </c>
      <c r="F327" s="14" t="s">
        <v>85</v>
      </c>
      <c r="G327" s="13" t="s">
        <v>83</v>
      </c>
      <c r="H327" s="14" t="s">
        <v>50</v>
      </c>
      <c r="I327" s="6" t="s">
        <v>3</v>
      </c>
      <c r="J327" s="3" t="s">
        <v>473</v>
      </c>
      <c r="K327" s="21">
        <v>25</v>
      </c>
      <c r="L327" s="24">
        <v>44841</v>
      </c>
    </row>
    <row r="328" spans="1:12" x14ac:dyDescent="0.25">
      <c r="A328" s="3" t="str">
        <f t="shared" si="9"/>
        <v>CAMAPATIO</v>
      </c>
      <c r="B328" s="6">
        <v>1</v>
      </c>
      <c r="C328" s="3" t="s">
        <v>92</v>
      </c>
      <c r="D328" s="14" t="s">
        <v>9</v>
      </c>
      <c r="E328" s="14" t="s">
        <v>472</v>
      </c>
      <c r="F328" s="14" t="s">
        <v>85</v>
      </c>
      <c r="G328" s="13" t="s">
        <v>83</v>
      </c>
      <c r="H328" s="14" t="s">
        <v>50</v>
      </c>
      <c r="I328" s="6" t="s">
        <v>3</v>
      </c>
      <c r="J328" s="3" t="s">
        <v>93</v>
      </c>
      <c r="K328" s="21">
        <v>25</v>
      </c>
      <c r="L328" s="24">
        <v>44841</v>
      </c>
    </row>
    <row r="329" spans="1:12" x14ac:dyDescent="0.25">
      <c r="A329" s="3" t="str">
        <f t="shared" si="9"/>
        <v>CAMAPATIO</v>
      </c>
      <c r="B329" s="6">
        <v>1</v>
      </c>
      <c r="C329" s="3" t="s">
        <v>92</v>
      </c>
      <c r="D329" s="14" t="s">
        <v>9</v>
      </c>
      <c r="E329" s="14" t="s">
        <v>53</v>
      </c>
      <c r="F329" s="14" t="s">
        <v>85</v>
      </c>
      <c r="G329" s="13" t="s">
        <v>83</v>
      </c>
      <c r="H329" s="14" t="s">
        <v>50</v>
      </c>
      <c r="I329" s="6" t="s">
        <v>3</v>
      </c>
      <c r="J329" s="3" t="s">
        <v>93</v>
      </c>
      <c r="K329" s="21">
        <v>25</v>
      </c>
      <c r="L329" s="24">
        <v>44841</v>
      </c>
    </row>
    <row r="330" spans="1:12" x14ac:dyDescent="0.25">
      <c r="A330" s="3" t="str">
        <f t="shared" si="9"/>
        <v>CAMAPATIO</v>
      </c>
      <c r="B330" s="6">
        <v>1</v>
      </c>
      <c r="C330" s="3" t="s">
        <v>92</v>
      </c>
      <c r="D330" s="14" t="s">
        <v>9</v>
      </c>
      <c r="E330" s="14" t="s">
        <v>53</v>
      </c>
      <c r="F330" s="14" t="s">
        <v>85</v>
      </c>
      <c r="G330" s="13" t="s">
        <v>83</v>
      </c>
      <c r="H330" s="14" t="s">
        <v>50</v>
      </c>
      <c r="I330" s="6" t="s">
        <v>3</v>
      </c>
      <c r="J330" s="3" t="s">
        <v>93</v>
      </c>
      <c r="K330" s="21">
        <v>25</v>
      </c>
      <c r="L330" s="24">
        <v>44841</v>
      </c>
    </row>
    <row r="331" spans="1:12" x14ac:dyDescent="0.25">
      <c r="A331" s="3" t="str">
        <f t="shared" si="9"/>
        <v>LÁMPPATIO</v>
      </c>
      <c r="B331" s="6">
        <v>1</v>
      </c>
      <c r="C331" s="3" t="s">
        <v>565</v>
      </c>
      <c r="D331" s="14" t="s">
        <v>9</v>
      </c>
      <c r="E331" s="14" t="s">
        <v>566</v>
      </c>
      <c r="F331" s="14" t="s">
        <v>85</v>
      </c>
      <c r="G331" s="13" t="s">
        <v>83</v>
      </c>
      <c r="H331" s="14" t="s">
        <v>50</v>
      </c>
      <c r="I331" s="6" t="s">
        <v>3</v>
      </c>
      <c r="J331" s="3" t="s">
        <v>567</v>
      </c>
      <c r="K331" s="21">
        <v>25</v>
      </c>
      <c r="L331" s="24">
        <v>44292</v>
      </c>
    </row>
    <row r="332" spans="1:12" x14ac:dyDescent="0.25">
      <c r="A332" s="3" t="str">
        <f t="shared" si="9"/>
        <v>CAMAPATIO</v>
      </c>
      <c r="B332" s="6">
        <v>1</v>
      </c>
      <c r="C332" s="3" t="s">
        <v>92</v>
      </c>
      <c r="D332" s="14" t="s">
        <v>9</v>
      </c>
      <c r="E332" s="14" t="s">
        <v>472</v>
      </c>
      <c r="F332" s="14" t="s">
        <v>85</v>
      </c>
      <c r="G332" s="13" t="s">
        <v>83</v>
      </c>
      <c r="H332" s="14" t="s">
        <v>50</v>
      </c>
      <c r="I332" s="6" t="s">
        <v>3</v>
      </c>
      <c r="J332" s="3" t="s">
        <v>93</v>
      </c>
      <c r="K332" s="21">
        <v>25</v>
      </c>
      <c r="L332" s="24">
        <v>44841</v>
      </c>
    </row>
    <row r="333" spans="1:12" x14ac:dyDescent="0.25">
      <c r="A333" s="3" t="str">
        <f t="shared" si="9"/>
        <v/>
      </c>
      <c r="B333" s="6"/>
      <c r="C333" s="3"/>
      <c r="D333" s="14"/>
      <c r="E333" s="14"/>
      <c r="F333" s="14"/>
      <c r="G333" s="13"/>
      <c r="H333" s="14"/>
      <c r="I333" s="6"/>
      <c r="J333" s="3"/>
      <c r="K333" s="21"/>
      <c r="L333" s="3"/>
    </row>
    <row r="334" spans="1:12" x14ac:dyDescent="0.25">
      <c r="A334" s="3" t="str">
        <f t="shared" si="9"/>
        <v/>
      </c>
      <c r="B334" s="6"/>
      <c r="C334" s="3"/>
      <c r="D334" s="14"/>
      <c r="E334" s="14"/>
      <c r="F334" s="14"/>
      <c r="G334" s="13"/>
      <c r="H334" s="14"/>
      <c r="I334" s="6"/>
      <c r="J334" s="3"/>
      <c r="K334" s="21"/>
      <c r="L334" s="3"/>
    </row>
    <row r="335" spans="1:12" x14ac:dyDescent="0.25">
      <c r="A335" s="3" t="str">
        <f t="shared" si="9"/>
        <v/>
      </c>
      <c r="B335" s="6"/>
      <c r="C335" s="3"/>
      <c r="D335" s="14"/>
      <c r="E335" s="14"/>
      <c r="F335" s="14"/>
      <c r="G335" s="13"/>
      <c r="H335" s="14"/>
      <c r="I335" s="6"/>
      <c r="J335" s="3"/>
      <c r="K335" s="21"/>
      <c r="L335" s="3"/>
    </row>
    <row r="336" spans="1:12" s="1" customFormat="1" x14ac:dyDescent="0.25">
      <c r="A336" s="9" t="s">
        <v>70</v>
      </c>
      <c r="B336" s="9" t="s">
        <v>69</v>
      </c>
      <c r="C336" s="9" t="s">
        <v>71</v>
      </c>
      <c r="D336" s="9" t="s">
        <v>63</v>
      </c>
      <c r="E336" s="9" t="s">
        <v>64</v>
      </c>
      <c r="F336" s="9" t="s">
        <v>65</v>
      </c>
      <c r="G336" s="10"/>
      <c r="H336" s="9" t="s">
        <v>66</v>
      </c>
      <c r="I336" s="9" t="s">
        <v>67</v>
      </c>
      <c r="J336" s="9" t="s">
        <v>72</v>
      </c>
      <c r="K336" s="22" t="s">
        <v>68</v>
      </c>
      <c r="L336" s="9" t="s">
        <v>584</v>
      </c>
    </row>
    <row r="337" spans="1:12" x14ac:dyDescent="0.25">
      <c r="A337" s="3" t="str">
        <f t="shared" si="9"/>
        <v>CAMACALLE PR</v>
      </c>
      <c r="B337" s="6">
        <v>1</v>
      </c>
      <c r="C337" s="3" t="s">
        <v>92</v>
      </c>
      <c r="D337" s="14" t="s">
        <v>9</v>
      </c>
      <c r="E337" s="14" t="s">
        <v>53</v>
      </c>
      <c r="F337" s="14" t="s">
        <v>85</v>
      </c>
      <c r="G337" s="13" t="s">
        <v>83</v>
      </c>
      <c r="H337" s="14" t="s">
        <v>474</v>
      </c>
      <c r="I337" s="6" t="s">
        <v>3</v>
      </c>
      <c r="J337" s="3" t="s">
        <v>93</v>
      </c>
      <c r="K337" s="21">
        <v>25</v>
      </c>
      <c r="L337" s="24">
        <v>44841</v>
      </c>
    </row>
    <row r="338" spans="1:12" x14ac:dyDescent="0.25">
      <c r="A338" s="3"/>
      <c r="B338" s="6"/>
      <c r="C338" s="3"/>
      <c r="D338" s="14"/>
      <c r="E338" s="14"/>
      <c r="F338" s="14"/>
      <c r="G338" s="13"/>
      <c r="H338" s="14"/>
      <c r="I338" s="6"/>
      <c r="J338" s="3"/>
      <c r="K338" s="21"/>
      <c r="L338" s="24"/>
    </row>
    <row r="339" spans="1:12" x14ac:dyDescent="0.25">
      <c r="A339" s="3" t="str">
        <f t="shared" si="9"/>
        <v/>
      </c>
      <c r="B339" s="6"/>
      <c r="C339" s="3"/>
      <c r="D339" s="14"/>
      <c r="E339" s="14"/>
      <c r="F339" s="14"/>
      <c r="G339" s="13"/>
      <c r="H339" s="14"/>
      <c r="I339" s="6"/>
      <c r="J339" s="3"/>
      <c r="K339" s="21"/>
      <c r="L339" s="3"/>
    </row>
    <row r="340" spans="1:12" x14ac:dyDescent="0.25">
      <c r="A340" s="3" t="str">
        <f t="shared" si="9"/>
        <v/>
      </c>
      <c r="B340" s="6"/>
      <c r="C340" s="3"/>
      <c r="D340" s="14"/>
      <c r="E340" s="14"/>
      <c r="F340" s="14"/>
      <c r="G340" s="13"/>
      <c r="H340" s="14"/>
      <c r="I340" s="6"/>
      <c r="J340" s="3"/>
      <c r="K340" s="21"/>
      <c r="L340" s="3"/>
    </row>
    <row r="341" spans="1:12" x14ac:dyDescent="0.25">
      <c r="A341" s="3" t="str">
        <f t="shared" si="9"/>
        <v/>
      </c>
      <c r="B341" s="6"/>
      <c r="C341" s="3"/>
      <c r="D341" s="14"/>
      <c r="E341" s="14"/>
      <c r="F341" s="14"/>
      <c r="G341" s="13"/>
      <c r="H341" s="14"/>
      <c r="I341" s="6"/>
      <c r="J341" s="3"/>
      <c r="K341" s="21"/>
      <c r="L341" s="3"/>
    </row>
    <row r="342" spans="1:12" s="1" customFormat="1" x14ac:dyDescent="0.25">
      <c r="A342" s="9" t="s">
        <v>70</v>
      </c>
      <c r="B342" s="9" t="s">
        <v>69</v>
      </c>
      <c r="C342" s="9" t="s">
        <v>71</v>
      </c>
      <c r="D342" s="9" t="s">
        <v>63</v>
      </c>
      <c r="E342" s="9" t="s">
        <v>64</v>
      </c>
      <c r="F342" s="9" t="s">
        <v>65</v>
      </c>
      <c r="G342" s="10" t="s">
        <v>78</v>
      </c>
      <c r="H342" s="9" t="s">
        <v>66</v>
      </c>
      <c r="I342" s="9" t="s">
        <v>67</v>
      </c>
      <c r="J342" s="9" t="s">
        <v>72</v>
      </c>
      <c r="K342" s="22" t="s">
        <v>68</v>
      </c>
      <c r="L342" s="9" t="s">
        <v>584</v>
      </c>
    </row>
    <row r="343" spans="1:12" x14ac:dyDescent="0.25">
      <c r="A343" s="3" t="str">
        <f t="shared" si="9"/>
        <v>CPUFISCALIZ</v>
      </c>
      <c r="B343" s="6">
        <v>1</v>
      </c>
      <c r="C343" s="3" t="s">
        <v>0</v>
      </c>
      <c r="D343" s="14" t="s">
        <v>478</v>
      </c>
      <c r="E343" s="14" t="s">
        <v>24</v>
      </c>
      <c r="F343" s="14" t="s">
        <v>81</v>
      </c>
      <c r="G343" s="13" t="s">
        <v>83</v>
      </c>
      <c r="H343" s="14" t="s">
        <v>21</v>
      </c>
      <c r="I343" s="6" t="s">
        <v>3</v>
      </c>
      <c r="J343" s="3" t="s">
        <v>443</v>
      </c>
      <c r="K343" s="21">
        <v>250</v>
      </c>
      <c r="L343" s="24">
        <v>45288</v>
      </c>
    </row>
    <row r="344" spans="1:12" x14ac:dyDescent="0.25">
      <c r="A344" s="3" t="str">
        <f t="shared" si="9"/>
        <v>MONIFISCALIZ</v>
      </c>
      <c r="B344" s="6">
        <v>1</v>
      </c>
      <c r="C344" s="3" t="s">
        <v>4</v>
      </c>
      <c r="D344" s="14" t="s">
        <v>1</v>
      </c>
      <c r="E344" s="14" t="s">
        <v>12</v>
      </c>
      <c r="F344" s="14" t="s">
        <v>421</v>
      </c>
      <c r="G344" s="13" t="s">
        <v>479</v>
      </c>
      <c r="H344" s="14" t="s">
        <v>21</v>
      </c>
      <c r="I344" s="6" t="s">
        <v>3</v>
      </c>
      <c r="J344" s="3" t="s">
        <v>372</v>
      </c>
      <c r="K344" s="21">
        <v>100</v>
      </c>
      <c r="L344" s="24">
        <v>45288</v>
      </c>
    </row>
    <row r="345" spans="1:12" x14ac:dyDescent="0.25">
      <c r="A345" s="3" t="str">
        <f t="shared" si="9"/>
        <v>MOUSFISCALIZ</v>
      </c>
      <c r="B345" s="6">
        <v>1</v>
      </c>
      <c r="C345" s="3" t="s">
        <v>6</v>
      </c>
      <c r="D345" s="14" t="s">
        <v>480</v>
      </c>
      <c r="E345" s="14" t="s">
        <v>24</v>
      </c>
      <c r="F345" s="14" t="s">
        <v>481</v>
      </c>
      <c r="G345" s="13" t="s">
        <v>83</v>
      </c>
      <c r="H345" s="14" t="s">
        <v>21</v>
      </c>
      <c r="I345" s="6" t="s">
        <v>3</v>
      </c>
      <c r="J345" s="3" t="s">
        <v>545</v>
      </c>
      <c r="K345" s="21">
        <v>6</v>
      </c>
      <c r="L345" s="24">
        <v>45288</v>
      </c>
    </row>
    <row r="346" spans="1:12" x14ac:dyDescent="0.25">
      <c r="A346" s="3" t="str">
        <f t="shared" si="9"/>
        <v>TECLFISCALIZ</v>
      </c>
      <c r="B346" s="6">
        <v>1</v>
      </c>
      <c r="C346" s="3" t="s">
        <v>11</v>
      </c>
      <c r="D346" s="14" t="s">
        <v>482</v>
      </c>
      <c r="E346" s="14" t="s">
        <v>24</v>
      </c>
      <c r="F346" s="14" t="s">
        <v>483</v>
      </c>
      <c r="G346" s="13" t="s">
        <v>83</v>
      </c>
      <c r="H346" s="14" t="s">
        <v>21</v>
      </c>
      <c r="I346" s="6" t="s">
        <v>3</v>
      </c>
      <c r="J346" s="3" t="s">
        <v>571</v>
      </c>
      <c r="K346" s="21">
        <v>17</v>
      </c>
      <c r="L346" s="24">
        <v>45288</v>
      </c>
    </row>
    <row r="347" spans="1:12" x14ac:dyDescent="0.25">
      <c r="A347" s="3" t="str">
        <f t="shared" si="9"/>
        <v>IMPRFISCALIZ</v>
      </c>
      <c r="B347" s="6">
        <v>1</v>
      </c>
      <c r="C347" s="3" t="s">
        <v>153</v>
      </c>
      <c r="D347" s="14" t="s">
        <v>1</v>
      </c>
      <c r="E347" s="14" t="s">
        <v>46</v>
      </c>
      <c r="F347" s="14" t="s">
        <v>154</v>
      </c>
      <c r="G347" s="13" t="s">
        <v>484</v>
      </c>
      <c r="H347" s="14" t="s">
        <v>21</v>
      </c>
      <c r="I347" s="6" t="s">
        <v>3</v>
      </c>
      <c r="J347" s="3" t="s">
        <v>234</v>
      </c>
      <c r="K347" s="21">
        <v>185</v>
      </c>
      <c r="L347" s="24">
        <v>44375</v>
      </c>
    </row>
    <row r="348" spans="1:12" x14ac:dyDescent="0.25">
      <c r="A348" s="3" t="str">
        <f t="shared" si="9"/>
        <v>CPUFISCALIZ</v>
      </c>
      <c r="B348" s="6">
        <v>1</v>
      </c>
      <c r="C348" s="3" t="s">
        <v>0</v>
      </c>
      <c r="D348" s="14" t="s">
        <v>1</v>
      </c>
      <c r="E348" s="14" t="s">
        <v>18</v>
      </c>
      <c r="F348" s="14" t="s">
        <v>85</v>
      </c>
      <c r="G348" s="13">
        <v>8225062019</v>
      </c>
      <c r="H348" s="14" t="s">
        <v>21</v>
      </c>
      <c r="I348" s="6" t="s">
        <v>3</v>
      </c>
      <c r="J348" s="3" t="s">
        <v>485</v>
      </c>
      <c r="K348" s="21">
        <v>250</v>
      </c>
      <c r="L348" s="24">
        <v>45288</v>
      </c>
    </row>
    <row r="349" spans="1:12" x14ac:dyDescent="0.25">
      <c r="A349" s="3" t="str">
        <f t="shared" si="9"/>
        <v>MONIFISCALIZ</v>
      </c>
      <c r="B349" s="6">
        <v>1</v>
      </c>
      <c r="C349" s="3" t="s">
        <v>4</v>
      </c>
      <c r="D349" s="14" t="s">
        <v>1</v>
      </c>
      <c r="E349" s="14" t="s">
        <v>17</v>
      </c>
      <c r="F349" s="14" t="s">
        <v>97</v>
      </c>
      <c r="G349" s="13" t="s">
        <v>486</v>
      </c>
      <c r="H349" s="14" t="s">
        <v>21</v>
      </c>
      <c r="I349" s="6" t="s">
        <v>3</v>
      </c>
      <c r="J349" s="3" t="s">
        <v>372</v>
      </c>
      <c r="K349" s="21">
        <v>60</v>
      </c>
      <c r="L349" s="24">
        <v>45288</v>
      </c>
    </row>
    <row r="350" spans="1:12" x14ac:dyDescent="0.25">
      <c r="A350" s="3" t="str">
        <f t="shared" si="9"/>
        <v>MOUSFISCALIZ</v>
      </c>
      <c r="B350" s="6">
        <v>1</v>
      </c>
      <c r="C350" s="3" t="s">
        <v>6</v>
      </c>
      <c r="D350" s="14" t="s">
        <v>23</v>
      </c>
      <c r="E350" s="14" t="s">
        <v>18</v>
      </c>
      <c r="F350" s="14" t="s">
        <v>85</v>
      </c>
      <c r="G350" s="13" t="s">
        <v>83</v>
      </c>
      <c r="H350" s="14" t="s">
        <v>21</v>
      </c>
      <c r="I350" s="6" t="s">
        <v>3</v>
      </c>
      <c r="J350" s="3" t="s">
        <v>541</v>
      </c>
      <c r="K350" s="21">
        <v>5</v>
      </c>
      <c r="L350" s="24">
        <v>45288</v>
      </c>
    </row>
    <row r="351" spans="1:12" x14ac:dyDescent="0.25">
      <c r="A351" s="3" t="str">
        <f t="shared" si="9"/>
        <v>REGUFISCALIZ</v>
      </c>
      <c r="B351" s="6">
        <v>1</v>
      </c>
      <c r="C351" s="3" t="s">
        <v>8</v>
      </c>
      <c r="D351" s="14" t="s">
        <v>1</v>
      </c>
      <c r="E351" s="14" t="s">
        <v>25</v>
      </c>
      <c r="F351" s="14" t="s">
        <v>487</v>
      </c>
      <c r="G351" s="13">
        <v>130414499</v>
      </c>
      <c r="H351" s="14" t="s">
        <v>21</v>
      </c>
      <c r="I351" s="6" t="s">
        <v>3</v>
      </c>
      <c r="J351" s="3" t="s">
        <v>561</v>
      </c>
      <c r="K351" s="21">
        <v>17</v>
      </c>
      <c r="L351" s="24">
        <v>45288</v>
      </c>
    </row>
    <row r="352" spans="1:12" x14ac:dyDescent="0.25">
      <c r="A352" s="3" t="str">
        <f t="shared" si="9"/>
        <v>TECLFISCALIZ</v>
      </c>
      <c r="B352" s="6">
        <v>1</v>
      </c>
      <c r="C352" s="3" t="s">
        <v>11</v>
      </c>
      <c r="D352" s="14" t="s">
        <v>1</v>
      </c>
      <c r="E352" s="14" t="s">
        <v>18</v>
      </c>
      <c r="F352" s="14" t="s">
        <v>85</v>
      </c>
      <c r="G352" s="13" t="s">
        <v>83</v>
      </c>
      <c r="H352" s="14" t="s">
        <v>21</v>
      </c>
      <c r="I352" s="6" t="s">
        <v>3</v>
      </c>
      <c r="J352" s="3" t="s">
        <v>570</v>
      </c>
      <c r="K352" s="21">
        <v>16.7</v>
      </c>
      <c r="L352" s="24">
        <v>45288</v>
      </c>
    </row>
    <row r="353" spans="1:12" x14ac:dyDescent="0.25">
      <c r="A353" s="3" t="str">
        <f t="shared" si="9"/>
        <v>SWITFISCALIZ</v>
      </c>
      <c r="B353" s="6">
        <v>1</v>
      </c>
      <c r="C353" s="3" t="s">
        <v>103</v>
      </c>
      <c r="D353" s="14" t="s">
        <v>104</v>
      </c>
      <c r="E353" s="14" t="s">
        <v>138</v>
      </c>
      <c r="F353" s="14" t="s">
        <v>489</v>
      </c>
      <c r="G353" s="13" t="s">
        <v>490</v>
      </c>
      <c r="H353" s="14" t="s">
        <v>21</v>
      </c>
      <c r="I353" s="6" t="s">
        <v>3</v>
      </c>
      <c r="J353" s="3" t="s">
        <v>569</v>
      </c>
      <c r="K353" s="21">
        <v>22</v>
      </c>
      <c r="L353" s="24">
        <v>45288</v>
      </c>
    </row>
    <row r="354" spans="1:12" x14ac:dyDescent="0.25">
      <c r="A354" s="3" t="str">
        <f t="shared" si="9"/>
        <v>PARLFISCALIZ</v>
      </c>
      <c r="B354" s="6">
        <v>1</v>
      </c>
      <c r="C354" s="3" t="s">
        <v>491</v>
      </c>
      <c r="D354" s="14" t="s">
        <v>1</v>
      </c>
      <c r="E354" s="14" t="s">
        <v>18</v>
      </c>
      <c r="F354" s="14" t="s">
        <v>85</v>
      </c>
      <c r="G354" s="13" t="s">
        <v>85</v>
      </c>
      <c r="H354" s="14" t="s">
        <v>21</v>
      </c>
      <c r="I354" s="6" t="s">
        <v>3</v>
      </c>
      <c r="J354" s="3" t="s">
        <v>254</v>
      </c>
      <c r="K354" s="21">
        <v>15</v>
      </c>
      <c r="L354" s="24">
        <v>45288</v>
      </c>
    </row>
    <row r="355" spans="1:12" x14ac:dyDescent="0.25">
      <c r="A355" s="3" t="str">
        <f t="shared" si="9"/>
        <v/>
      </c>
      <c r="B355" s="6"/>
      <c r="C355" s="3"/>
      <c r="D355" s="14"/>
      <c r="E355" s="14"/>
      <c r="F355" s="14"/>
      <c r="G355" s="13"/>
      <c r="H355" s="14"/>
      <c r="I355" s="6"/>
      <c r="J355" s="3"/>
      <c r="K355" s="21"/>
      <c r="L355" s="3"/>
    </row>
    <row r="356" spans="1:12" x14ac:dyDescent="0.25">
      <c r="A356" s="3" t="str">
        <f t="shared" si="9"/>
        <v/>
      </c>
      <c r="B356" s="6"/>
      <c r="C356" s="3"/>
      <c r="D356" s="14"/>
      <c r="E356" s="14"/>
      <c r="F356" s="14"/>
      <c r="G356" s="13"/>
      <c r="H356" s="14"/>
      <c r="I356" s="6"/>
      <c r="J356" s="3"/>
      <c r="K356" s="21"/>
      <c r="L356" s="3"/>
    </row>
    <row r="357" spans="1:12" x14ac:dyDescent="0.25">
      <c r="A357" s="3" t="str">
        <f t="shared" si="9"/>
        <v/>
      </c>
      <c r="B357" s="6"/>
      <c r="C357" s="3"/>
      <c r="D357" s="6"/>
      <c r="E357" s="6"/>
      <c r="F357" s="6"/>
      <c r="G357" s="7"/>
      <c r="H357" s="6"/>
      <c r="I357" s="6"/>
      <c r="J357" s="3"/>
      <c r="K357" s="21"/>
      <c r="L357" s="3"/>
    </row>
    <row r="358" spans="1:12" s="1" customFormat="1" x14ac:dyDescent="0.25">
      <c r="A358" s="9" t="s">
        <v>70</v>
      </c>
      <c r="B358" s="9" t="s">
        <v>69</v>
      </c>
      <c r="C358" s="9" t="s">
        <v>71</v>
      </c>
      <c r="D358" s="9" t="s">
        <v>63</v>
      </c>
      <c r="E358" s="9" t="s">
        <v>64</v>
      </c>
      <c r="F358" s="9" t="s">
        <v>65</v>
      </c>
      <c r="G358" s="10"/>
      <c r="H358" s="9" t="s">
        <v>66</v>
      </c>
      <c r="I358" s="9" t="s">
        <v>67</v>
      </c>
      <c r="J358" s="9" t="s">
        <v>72</v>
      </c>
      <c r="K358" s="22" t="s">
        <v>68</v>
      </c>
      <c r="L358" s="9" t="s">
        <v>584</v>
      </c>
    </row>
    <row r="359" spans="1:12" x14ac:dyDescent="0.25">
      <c r="A359" s="3" t="str">
        <f t="shared" si="9"/>
        <v>REGUFUNERARI</v>
      </c>
      <c r="B359" s="6">
        <v>1</v>
      </c>
      <c r="C359" s="3" t="s">
        <v>690</v>
      </c>
      <c r="D359" s="14" t="s">
        <v>1</v>
      </c>
      <c r="E359" s="14" t="s">
        <v>25</v>
      </c>
      <c r="F359" s="14" t="s">
        <v>477</v>
      </c>
      <c r="G359" s="13">
        <v>130414508</v>
      </c>
      <c r="H359" s="14" t="s">
        <v>26</v>
      </c>
      <c r="I359" s="6" t="s">
        <v>3</v>
      </c>
      <c r="J359" s="3" t="s">
        <v>561</v>
      </c>
      <c r="K359" s="21">
        <v>13</v>
      </c>
      <c r="L359" s="24">
        <v>44207</v>
      </c>
    </row>
    <row r="360" spans="1:12" x14ac:dyDescent="0.25">
      <c r="A360" s="3" t="str">
        <f t="shared" si="9"/>
        <v>REGUFUNERARI</v>
      </c>
      <c r="B360" s="6">
        <v>1</v>
      </c>
      <c r="C360" s="3" t="s">
        <v>27</v>
      </c>
      <c r="D360" s="14" t="s">
        <v>1</v>
      </c>
      <c r="E360" s="14" t="s">
        <v>47</v>
      </c>
      <c r="F360" s="14" t="s">
        <v>476</v>
      </c>
      <c r="G360" s="13">
        <v>92900959</v>
      </c>
      <c r="H360" s="14" t="s">
        <v>26</v>
      </c>
      <c r="I360" s="6" t="s">
        <v>3</v>
      </c>
      <c r="J360" s="3" t="s">
        <v>560</v>
      </c>
      <c r="K360" s="21">
        <v>17.739999999999998</v>
      </c>
      <c r="L360" s="24">
        <v>44207</v>
      </c>
    </row>
    <row r="361" spans="1:12" x14ac:dyDescent="0.25">
      <c r="A361" s="3" t="str">
        <f t="shared" si="9"/>
        <v/>
      </c>
      <c r="B361" s="6"/>
      <c r="C361" s="3"/>
      <c r="D361" s="14"/>
      <c r="E361" s="14"/>
      <c r="F361" s="14"/>
      <c r="G361" s="13"/>
      <c r="H361" s="14"/>
      <c r="I361" s="6"/>
      <c r="J361" s="3"/>
      <c r="K361" s="21"/>
      <c r="L361" s="3"/>
    </row>
    <row r="362" spans="1:12" x14ac:dyDescent="0.25">
      <c r="A362" s="3" t="str">
        <f t="shared" si="9"/>
        <v/>
      </c>
      <c r="B362" s="6"/>
      <c r="C362" s="3"/>
      <c r="D362" s="14"/>
      <c r="E362" s="14"/>
      <c r="F362" s="14"/>
      <c r="G362" s="13"/>
      <c r="H362" s="14"/>
      <c r="I362" s="6"/>
      <c r="J362" s="3"/>
      <c r="K362" s="21"/>
      <c r="L362" s="3"/>
    </row>
    <row r="363" spans="1:12" x14ac:dyDescent="0.25">
      <c r="A363" s="3" t="str">
        <f t="shared" si="9"/>
        <v/>
      </c>
      <c r="B363" s="6"/>
      <c r="C363" s="3"/>
      <c r="D363" s="6"/>
      <c r="E363" s="6"/>
      <c r="F363" s="6"/>
      <c r="G363" s="7"/>
      <c r="H363" s="6"/>
      <c r="I363" s="6"/>
      <c r="J363" s="3"/>
      <c r="K363" s="21"/>
      <c r="L363" s="3"/>
    </row>
    <row r="364" spans="1:12" s="1" customFormat="1" x14ac:dyDescent="0.25">
      <c r="A364" s="9" t="s">
        <v>70</v>
      </c>
      <c r="B364" s="9" t="s">
        <v>69</v>
      </c>
      <c r="C364" s="9" t="s">
        <v>71</v>
      </c>
      <c r="D364" s="9" t="s">
        <v>63</v>
      </c>
      <c r="E364" s="9" t="s">
        <v>64</v>
      </c>
      <c r="F364" s="9" t="s">
        <v>65</v>
      </c>
      <c r="G364" s="10" t="s">
        <v>78</v>
      </c>
      <c r="H364" s="9" t="s">
        <v>66</v>
      </c>
      <c r="I364" s="9" t="s">
        <v>67</v>
      </c>
      <c r="J364" s="9" t="s">
        <v>72</v>
      </c>
      <c r="K364" s="22" t="s">
        <v>68</v>
      </c>
      <c r="L364" s="9" t="s">
        <v>584</v>
      </c>
    </row>
    <row r="365" spans="1:12" x14ac:dyDescent="0.25">
      <c r="A365" s="3" t="str">
        <f t="shared" si="9"/>
        <v>MODEASESORÍA</v>
      </c>
      <c r="B365" s="6">
        <v>1</v>
      </c>
      <c r="C365" s="3" t="s">
        <v>137</v>
      </c>
      <c r="D365" s="14" t="s">
        <v>9</v>
      </c>
      <c r="E365" s="14" t="s">
        <v>492</v>
      </c>
      <c r="F365" s="14" t="s">
        <v>493</v>
      </c>
      <c r="G365" s="13" t="s">
        <v>494</v>
      </c>
      <c r="H365" s="14" t="s">
        <v>688</v>
      </c>
      <c r="I365" s="6" t="s">
        <v>3</v>
      </c>
      <c r="J365" s="3" t="s">
        <v>495</v>
      </c>
      <c r="K365" s="21">
        <v>80</v>
      </c>
      <c r="L365" s="24">
        <v>44375</v>
      </c>
    </row>
    <row r="366" spans="1:12" x14ac:dyDescent="0.25">
      <c r="A366" s="3" t="str">
        <f t="shared" si="9"/>
        <v>IMPRASESORÍA</v>
      </c>
      <c r="B366" s="6">
        <v>1</v>
      </c>
      <c r="C366" s="3" t="s">
        <v>153</v>
      </c>
      <c r="D366" s="14" t="s">
        <v>1</v>
      </c>
      <c r="E366" s="14" t="s">
        <v>46</v>
      </c>
      <c r="F366" s="14" t="s">
        <v>154</v>
      </c>
      <c r="G366" s="13" t="s">
        <v>496</v>
      </c>
      <c r="H366" s="14" t="s">
        <v>688</v>
      </c>
      <c r="I366" s="6" t="s">
        <v>3</v>
      </c>
      <c r="J366" s="3" t="s">
        <v>234</v>
      </c>
      <c r="K366" s="21">
        <v>185</v>
      </c>
      <c r="L366" s="24">
        <v>44375</v>
      </c>
    </row>
    <row r="367" spans="1:12" x14ac:dyDescent="0.25">
      <c r="A367" s="3" t="str">
        <f t="shared" si="9"/>
        <v>REGUASESORÍA</v>
      </c>
      <c r="B367" s="6">
        <v>1</v>
      </c>
      <c r="C367" s="3" t="s">
        <v>8</v>
      </c>
      <c r="D367" s="14" t="s">
        <v>1</v>
      </c>
      <c r="E367" s="14" t="s">
        <v>18</v>
      </c>
      <c r="F367" s="14" t="s">
        <v>282</v>
      </c>
      <c r="G367" s="13" t="s">
        <v>497</v>
      </c>
      <c r="H367" s="14" t="s">
        <v>688</v>
      </c>
      <c r="I367" s="6" t="s">
        <v>3</v>
      </c>
      <c r="J367" s="3" t="s">
        <v>562</v>
      </c>
      <c r="K367" s="21">
        <v>13</v>
      </c>
      <c r="L367" s="24">
        <v>44375</v>
      </c>
    </row>
    <row r="368" spans="1:12" x14ac:dyDescent="0.25">
      <c r="A368" s="3" t="str">
        <f t="shared" si="9"/>
        <v>RELOASESORÍA</v>
      </c>
      <c r="B368" s="6">
        <v>1</v>
      </c>
      <c r="C368" s="3" t="s">
        <v>48</v>
      </c>
      <c r="D368" s="14" t="s">
        <v>1</v>
      </c>
      <c r="E368" s="14" t="s">
        <v>563</v>
      </c>
      <c r="F368" s="14" t="s">
        <v>267</v>
      </c>
      <c r="G368" s="13" t="s">
        <v>268</v>
      </c>
      <c r="H368" s="14" t="s">
        <v>688</v>
      </c>
      <c r="I368" s="6" t="s">
        <v>3</v>
      </c>
      <c r="J368" s="3" t="s">
        <v>564</v>
      </c>
      <c r="K368" s="21">
        <v>250</v>
      </c>
      <c r="L368" s="24">
        <v>45364</v>
      </c>
    </row>
    <row r="369" spans="1:12" x14ac:dyDescent="0.25">
      <c r="A369" s="3" t="str">
        <f t="shared" si="9"/>
        <v>PARLASESORÍA</v>
      </c>
      <c r="B369" s="6">
        <v>1</v>
      </c>
      <c r="C369" s="3" t="s">
        <v>491</v>
      </c>
      <c r="D369" s="14" t="s">
        <v>480</v>
      </c>
      <c r="E369" s="14" t="s">
        <v>13</v>
      </c>
      <c r="F369" s="14" t="s">
        <v>498</v>
      </c>
      <c r="G369" s="13" t="s">
        <v>499</v>
      </c>
      <c r="H369" s="14" t="s">
        <v>688</v>
      </c>
      <c r="I369" s="6" t="s">
        <v>3</v>
      </c>
      <c r="J369" s="3" t="s">
        <v>500</v>
      </c>
      <c r="K369" s="21">
        <v>15</v>
      </c>
      <c r="L369" s="24">
        <v>44244</v>
      </c>
    </row>
    <row r="370" spans="1:12" x14ac:dyDescent="0.25">
      <c r="A370" s="3" t="str">
        <f t="shared" si="9"/>
        <v>COMPASESORÍA</v>
      </c>
      <c r="B370" s="6">
        <v>1</v>
      </c>
      <c r="C370" s="3" t="s">
        <v>227</v>
      </c>
      <c r="D370" s="14" t="s">
        <v>1</v>
      </c>
      <c r="E370" s="14" t="s">
        <v>501</v>
      </c>
      <c r="F370" s="14" t="s">
        <v>502</v>
      </c>
      <c r="G370" s="13" t="s">
        <v>503</v>
      </c>
      <c r="H370" s="14" t="s">
        <v>688</v>
      </c>
      <c r="I370" s="6" t="s">
        <v>3</v>
      </c>
      <c r="J370" s="3" t="s">
        <v>506</v>
      </c>
      <c r="K370" s="21">
        <v>200</v>
      </c>
      <c r="L370" s="24">
        <v>44249</v>
      </c>
    </row>
    <row r="371" spans="1:12" x14ac:dyDescent="0.25">
      <c r="A371" s="3" t="str">
        <f t="shared" si="9"/>
        <v>NVRASESORÍA</v>
      </c>
      <c r="B371" s="6">
        <v>1</v>
      </c>
      <c r="C371" s="3" t="s">
        <v>692</v>
      </c>
      <c r="D371" s="14" t="s">
        <v>1</v>
      </c>
      <c r="E371" s="14" t="s">
        <v>693</v>
      </c>
      <c r="F371" s="14" t="s">
        <v>693</v>
      </c>
      <c r="G371" s="13" t="s">
        <v>83</v>
      </c>
      <c r="H371" s="14" t="s">
        <v>688</v>
      </c>
      <c r="I371" s="6" t="s">
        <v>3</v>
      </c>
      <c r="J371" s="3" t="s">
        <v>694</v>
      </c>
      <c r="K371" s="21">
        <v>120</v>
      </c>
      <c r="L371" s="24">
        <v>45985</v>
      </c>
    </row>
    <row r="372" spans="1:12" x14ac:dyDescent="0.25">
      <c r="A372" s="3" t="str">
        <f t="shared" si="9"/>
        <v>DISCASESORÍA</v>
      </c>
      <c r="B372" s="6">
        <v>1</v>
      </c>
      <c r="C372" s="3" t="s">
        <v>695</v>
      </c>
      <c r="D372" s="14" t="s">
        <v>1</v>
      </c>
      <c r="E372" s="14" t="s">
        <v>696</v>
      </c>
      <c r="F372" s="14" t="s">
        <v>696</v>
      </c>
      <c r="G372" s="13" t="s">
        <v>83</v>
      </c>
      <c r="H372" s="14" t="s">
        <v>688</v>
      </c>
      <c r="I372" s="6" t="s">
        <v>3</v>
      </c>
      <c r="J372" s="3" t="s">
        <v>697</v>
      </c>
      <c r="K372" s="21">
        <v>90.87</v>
      </c>
      <c r="L372" s="24">
        <v>45985</v>
      </c>
    </row>
    <row r="373" spans="1:12" x14ac:dyDescent="0.25">
      <c r="A373" s="3" t="str">
        <f t="shared" si="9"/>
        <v>CAMAASESORÍA</v>
      </c>
      <c r="B373" s="6">
        <v>2</v>
      </c>
      <c r="C373" s="3" t="s">
        <v>701</v>
      </c>
      <c r="D373" s="14" t="s">
        <v>698</v>
      </c>
      <c r="E373" s="14" t="s">
        <v>699</v>
      </c>
      <c r="F373" s="14" t="s">
        <v>699</v>
      </c>
      <c r="G373" s="13" t="s">
        <v>83</v>
      </c>
      <c r="H373" s="14" t="s">
        <v>688</v>
      </c>
      <c r="I373" s="6" t="s">
        <v>3</v>
      </c>
      <c r="J373" s="3" t="s">
        <v>700</v>
      </c>
      <c r="K373" s="21">
        <v>130.44</v>
      </c>
      <c r="L373" s="24">
        <v>45985</v>
      </c>
    </row>
    <row r="374" spans="1:12" x14ac:dyDescent="0.25">
      <c r="A374" s="3" t="str">
        <f t="shared" ref="A374:A375" si="10">CONCATENATE(LEFT(C374,4),LEFT(H374,8))</f>
        <v>CAMAASESORÍA</v>
      </c>
      <c r="B374" s="6">
        <v>1</v>
      </c>
      <c r="C374" s="3" t="s">
        <v>701</v>
      </c>
      <c r="D374" s="14" t="s">
        <v>9</v>
      </c>
      <c r="E374" s="14" t="s">
        <v>53</v>
      </c>
      <c r="F374" s="14" t="s">
        <v>702</v>
      </c>
      <c r="G374" s="13" t="s">
        <v>704</v>
      </c>
      <c r="H374" s="14" t="s">
        <v>688</v>
      </c>
      <c r="I374" s="6" t="s">
        <v>3</v>
      </c>
      <c r="J374" s="3" t="s">
        <v>703</v>
      </c>
      <c r="K374" s="21">
        <v>76.13</v>
      </c>
      <c r="L374" s="3"/>
    </row>
    <row r="375" spans="1:12" x14ac:dyDescent="0.25">
      <c r="A375" s="3" t="str">
        <f t="shared" si="10"/>
        <v/>
      </c>
      <c r="B375" s="6"/>
      <c r="C375" s="3"/>
      <c r="D375" s="6"/>
      <c r="E375" s="6"/>
      <c r="F375" s="6"/>
      <c r="G375" s="7"/>
      <c r="H375" s="6"/>
      <c r="I375" s="6"/>
      <c r="J375" s="3"/>
      <c r="K375" s="21"/>
      <c r="L375" s="3"/>
    </row>
    <row r="376" spans="1:12" s="1" customFormat="1" x14ac:dyDescent="0.25">
      <c r="A376" s="9" t="s">
        <v>70</v>
      </c>
      <c r="B376" s="9" t="s">
        <v>69</v>
      </c>
      <c r="C376" s="9" t="s">
        <v>71</v>
      </c>
      <c r="D376" s="9" t="s">
        <v>63</v>
      </c>
      <c r="E376" s="9" t="s">
        <v>64</v>
      </c>
      <c r="F376" s="9" t="s">
        <v>65</v>
      </c>
      <c r="G376" s="10" t="s">
        <v>78</v>
      </c>
      <c r="H376" s="9" t="s">
        <v>66</v>
      </c>
      <c r="I376" s="9" t="s">
        <v>67</v>
      </c>
      <c r="J376" s="9" t="s">
        <v>72</v>
      </c>
      <c r="K376" s="22" t="s">
        <v>68</v>
      </c>
      <c r="L376" s="9" t="s">
        <v>584</v>
      </c>
    </row>
    <row r="377" spans="1:12" x14ac:dyDescent="0.25">
      <c r="A377" s="3" t="str">
        <f t="shared" ref="A377:A381" si="11">CONCATENATE(LEFT(C377,4),LEFT(H377,8))</f>
        <v>PROYAULA-MEC</v>
      </c>
      <c r="B377" s="6">
        <v>1</v>
      </c>
      <c r="C377" s="3" t="s">
        <v>45</v>
      </c>
      <c r="D377" s="14" t="s">
        <v>1</v>
      </c>
      <c r="E377" s="14" t="s">
        <v>46</v>
      </c>
      <c r="F377" s="14" t="s">
        <v>86</v>
      </c>
      <c r="G377" s="13" t="s">
        <v>87</v>
      </c>
      <c r="H377" s="14" t="s">
        <v>551</v>
      </c>
      <c r="I377" s="6" t="s">
        <v>10</v>
      </c>
      <c r="J377" s="3" t="s">
        <v>111</v>
      </c>
      <c r="K377" s="21">
        <v>436</v>
      </c>
      <c r="L377" s="24">
        <v>45490</v>
      </c>
    </row>
    <row r="378" spans="1:12" x14ac:dyDescent="0.25">
      <c r="A378" s="3" t="str">
        <f t="shared" si="11"/>
        <v>PARLAULA-MEC</v>
      </c>
      <c r="B378" s="6">
        <v>1</v>
      </c>
      <c r="C378" s="3" t="s">
        <v>491</v>
      </c>
      <c r="D378" s="14" t="s">
        <v>1</v>
      </c>
      <c r="E378" s="14" t="s">
        <v>88</v>
      </c>
      <c r="F378" s="14" t="s">
        <v>89</v>
      </c>
      <c r="G378" s="13" t="s">
        <v>90</v>
      </c>
      <c r="H378" s="14" t="s">
        <v>551</v>
      </c>
      <c r="I378" s="6" t="s">
        <v>3</v>
      </c>
      <c r="J378" s="3" t="s">
        <v>112</v>
      </c>
      <c r="K378" s="21">
        <v>30</v>
      </c>
      <c r="L378" s="24">
        <v>45490</v>
      </c>
    </row>
    <row r="379" spans="1:12" x14ac:dyDescent="0.25">
      <c r="A379" s="3" t="str">
        <f t="shared" si="11"/>
        <v/>
      </c>
      <c r="B379" s="6"/>
      <c r="C379" s="3"/>
      <c r="D379" s="14"/>
      <c r="E379" s="14"/>
      <c r="F379" s="14"/>
      <c r="G379" s="13"/>
      <c r="H379" s="14"/>
      <c r="I379" s="6"/>
      <c r="J379" s="3"/>
      <c r="K379" s="21"/>
      <c r="L379" s="3"/>
    </row>
    <row r="380" spans="1:12" x14ac:dyDescent="0.25">
      <c r="A380" s="3" t="str">
        <f t="shared" si="11"/>
        <v/>
      </c>
      <c r="B380" s="6"/>
      <c r="C380" s="3"/>
      <c r="D380" s="14"/>
      <c r="E380" s="14"/>
      <c r="F380" s="14"/>
      <c r="G380" s="13"/>
      <c r="H380" s="14"/>
      <c r="I380" s="6"/>
      <c r="J380" s="3"/>
      <c r="K380" s="21"/>
      <c r="L380" s="3"/>
    </row>
    <row r="381" spans="1:12" x14ac:dyDescent="0.25">
      <c r="A381" s="3" t="str">
        <f t="shared" si="11"/>
        <v/>
      </c>
      <c r="B381" s="6"/>
      <c r="C381" s="3"/>
      <c r="D381" s="6"/>
      <c r="E381" s="6"/>
      <c r="F381" s="6"/>
      <c r="G381" s="7"/>
      <c r="H381" s="6"/>
      <c r="I381" s="6"/>
      <c r="J381" s="3"/>
      <c r="K381" s="21"/>
      <c r="L381" s="3"/>
    </row>
    <row r="382" spans="1:12" s="1" customFormat="1" x14ac:dyDescent="0.25">
      <c r="A382" s="9" t="s">
        <v>70</v>
      </c>
      <c r="B382" s="9" t="s">
        <v>69</v>
      </c>
      <c r="C382" s="9" t="s">
        <v>71</v>
      </c>
      <c r="D382" s="9" t="s">
        <v>63</v>
      </c>
      <c r="E382" s="9" t="s">
        <v>64</v>
      </c>
      <c r="F382" s="9" t="s">
        <v>65</v>
      </c>
      <c r="G382" s="10" t="s">
        <v>78</v>
      </c>
      <c r="H382" s="9" t="s">
        <v>66</v>
      </c>
      <c r="I382" s="9" t="s">
        <v>67</v>
      </c>
      <c r="J382" s="9" t="s">
        <v>72</v>
      </c>
      <c r="K382" s="22" t="s">
        <v>68</v>
      </c>
      <c r="L382" s="9" t="s">
        <v>584</v>
      </c>
    </row>
    <row r="383" spans="1:12" x14ac:dyDescent="0.25">
      <c r="A383" s="3" t="str">
        <f t="shared" ref="A383:A384" si="12">CONCATENATE(LEFT(C383,4),LEFT(H383,8))</f>
        <v>MODEHOSTAL</v>
      </c>
      <c r="B383" s="6">
        <v>1</v>
      </c>
      <c r="C383" s="3" t="s">
        <v>137</v>
      </c>
      <c r="D383" s="14" t="s">
        <v>9</v>
      </c>
      <c r="E383" s="14" t="s">
        <v>207</v>
      </c>
      <c r="F383" s="14" t="s">
        <v>208</v>
      </c>
      <c r="G383" s="13" t="s">
        <v>689</v>
      </c>
      <c r="H383" s="14" t="s">
        <v>504</v>
      </c>
      <c r="I383" s="6" t="s">
        <v>10</v>
      </c>
      <c r="J383" s="3" t="s">
        <v>505</v>
      </c>
      <c r="K383" s="21">
        <v>80</v>
      </c>
      <c r="L383" s="24">
        <v>45392</v>
      </c>
    </row>
    <row r="384" spans="1:12" x14ac:dyDescent="0.25">
      <c r="A384" s="3" t="str">
        <f t="shared" si="12"/>
        <v/>
      </c>
      <c r="B384" s="6"/>
      <c r="C384" s="3"/>
      <c r="D384" s="14"/>
      <c r="E384" s="14"/>
      <c r="F384" s="14"/>
      <c r="G384" s="13"/>
      <c r="H384" s="14"/>
      <c r="I384" s="6"/>
      <c r="J384" s="3"/>
      <c r="K384" s="21"/>
      <c r="L384" s="3"/>
    </row>
    <row r="385" spans="1:12" x14ac:dyDescent="0.25">
      <c r="A385" s="3"/>
      <c r="B385" s="6"/>
      <c r="C385" s="3"/>
      <c r="D385" s="14"/>
      <c r="E385" s="14"/>
      <c r="F385" s="14"/>
      <c r="G385" s="13"/>
      <c r="H385" s="14"/>
      <c r="I385" s="6"/>
      <c r="J385" s="3"/>
      <c r="K385" s="21"/>
      <c r="L385" s="3"/>
    </row>
    <row r="386" spans="1:12" x14ac:dyDescent="0.25">
      <c r="A386" s="3"/>
      <c r="B386" s="6"/>
      <c r="C386" s="3"/>
      <c r="D386" s="14"/>
      <c r="E386" s="14"/>
      <c r="F386" s="14"/>
      <c r="G386" s="13"/>
      <c r="H386" s="14"/>
      <c r="I386" s="6"/>
      <c r="J386" s="3"/>
      <c r="K386" s="21"/>
      <c r="L386" s="3"/>
    </row>
    <row r="387" spans="1:12" s="1" customFormat="1" x14ac:dyDescent="0.25">
      <c r="A387" s="9" t="s">
        <v>70</v>
      </c>
      <c r="B387" s="9" t="s">
        <v>69</v>
      </c>
      <c r="C387" s="9" t="s">
        <v>71</v>
      </c>
      <c r="D387" s="9" t="s">
        <v>63</v>
      </c>
      <c r="E387" s="9" t="s">
        <v>64</v>
      </c>
      <c r="F387" s="9" t="s">
        <v>65</v>
      </c>
      <c r="G387" s="10" t="s">
        <v>78</v>
      </c>
      <c r="H387" s="9" t="s">
        <v>66</v>
      </c>
      <c r="I387" s="9" t="s">
        <v>67</v>
      </c>
      <c r="J387" s="9" t="s">
        <v>72</v>
      </c>
      <c r="K387" s="22" t="s">
        <v>68</v>
      </c>
      <c r="L387" s="9" t="s">
        <v>584</v>
      </c>
    </row>
    <row r="388" spans="1:12" x14ac:dyDescent="0.25">
      <c r="A388" s="3" t="str">
        <f t="shared" ref="A388:A401" si="13">CONCATENATE(LEFT(C388,4),LEFT(H388,8))</f>
        <v>SERVCUARTO D</v>
      </c>
      <c r="B388" s="6">
        <v>1</v>
      </c>
      <c r="C388" s="3" t="s">
        <v>552</v>
      </c>
      <c r="D388" s="14" t="s">
        <v>1</v>
      </c>
      <c r="E388" s="14" t="s">
        <v>515</v>
      </c>
      <c r="F388" s="14" t="s">
        <v>513</v>
      </c>
      <c r="G388" s="13" t="s">
        <v>516</v>
      </c>
      <c r="H388" s="14" t="s">
        <v>514</v>
      </c>
      <c r="I388" s="6" t="s">
        <v>3</v>
      </c>
      <c r="J388" s="3" t="s">
        <v>568</v>
      </c>
      <c r="K388" s="21">
        <v>2500</v>
      </c>
      <c r="L388" s="24">
        <v>44841</v>
      </c>
    </row>
    <row r="389" spans="1:12" x14ac:dyDescent="0.25">
      <c r="A389" s="3" t="str">
        <f t="shared" si="13"/>
        <v>DVRCUARTO D</v>
      </c>
      <c r="B389" s="6">
        <v>1</v>
      </c>
      <c r="C389" s="3" t="s">
        <v>507</v>
      </c>
      <c r="D389" s="14" t="s">
        <v>1</v>
      </c>
      <c r="E389" s="14" t="s">
        <v>517</v>
      </c>
      <c r="F389" s="14" t="s">
        <v>518</v>
      </c>
      <c r="G389" s="13">
        <v>300222370</v>
      </c>
      <c r="H389" s="14" t="s">
        <v>514</v>
      </c>
      <c r="I389" s="6" t="s">
        <v>3</v>
      </c>
      <c r="J389" s="3" t="s">
        <v>519</v>
      </c>
      <c r="K389" s="21">
        <v>230</v>
      </c>
      <c r="L389" s="24">
        <v>44841</v>
      </c>
    </row>
    <row r="390" spans="1:12" x14ac:dyDescent="0.25">
      <c r="A390" s="3" t="str">
        <f t="shared" si="13"/>
        <v>BASECUARTO D</v>
      </c>
      <c r="B390" s="6">
        <v>1</v>
      </c>
      <c r="C390" s="3" t="s">
        <v>148</v>
      </c>
      <c r="D390" s="14" t="s">
        <v>1</v>
      </c>
      <c r="E390" s="14" t="s">
        <v>149</v>
      </c>
      <c r="F390" s="14" t="s">
        <v>511</v>
      </c>
      <c r="G390" s="13" t="s">
        <v>512</v>
      </c>
      <c r="H390" s="14" t="s">
        <v>514</v>
      </c>
      <c r="I390" s="6" t="s">
        <v>3</v>
      </c>
      <c r="J390" s="3" t="s">
        <v>520</v>
      </c>
      <c r="K390" s="21">
        <v>200</v>
      </c>
      <c r="L390" s="24">
        <v>44841</v>
      </c>
    </row>
    <row r="391" spans="1:12" x14ac:dyDescent="0.25">
      <c r="A391" s="3" t="str">
        <f t="shared" si="13"/>
        <v>UPS CUARTO D</v>
      </c>
      <c r="B391" s="6">
        <v>1</v>
      </c>
      <c r="C391" s="3" t="s">
        <v>508</v>
      </c>
      <c r="D391" s="14" t="s">
        <v>1</v>
      </c>
      <c r="E391" s="14" t="s">
        <v>521</v>
      </c>
      <c r="F391" s="14" t="s">
        <v>522</v>
      </c>
      <c r="G391" s="13" t="s">
        <v>523</v>
      </c>
      <c r="H391" s="14" t="s">
        <v>514</v>
      </c>
      <c r="I391" s="6" t="s">
        <v>3</v>
      </c>
      <c r="J391" s="3" t="s">
        <v>575</v>
      </c>
      <c r="K391" s="21">
        <v>120</v>
      </c>
      <c r="L391" s="24">
        <v>44841</v>
      </c>
    </row>
    <row r="392" spans="1:12" x14ac:dyDescent="0.25">
      <c r="A392" s="3" t="str">
        <f t="shared" si="13"/>
        <v>MONICUARTO D</v>
      </c>
      <c r="B392" s="6">
        <v>1</v>
      </c>
      <c r="C392" s="3" t="s">
        <v>4</v>
      </c>
      <c r="D392" s="14" t="s">
        <v>1</v>
      </c>
      <c r="E392" s="14" t="s">
        <v>17</v>
      </c>
      <c r="F392" s="14" t="s">
        <v>81</v>
      </c>
      <c r="G392" s="13" t="s">
        <v>83</v>
      </c>
      <c r="H392" s="14" t="s">
        <v>514</v>
      </c>
      <c r="I392" s="6" t="s">
        <v>3</v>
      </c>
      <c r="J392" s="3" t="s">
        <v>524</v>
      </c>
      <c r="K392" s="21">
        <v>60</v>
      </c>
      <c r="L392" s="24">
        <v>44841</v>
      </c>
    </row>
    <row r="393" spans="1:12" x14ac:dyDescent="0.25">
      <c r="A393" s="3" t="str">
        <f t="shared" si="13"/>
        <v>MONICUARTO D</v>
      </c>
      <c r="B393" s="6">
        <v>1</v>
      </c>
      <c r="C393" s="3" t="s">
        <v>4</v>
      </c>
      <c r="D393" s="14" t="s">
        <v>1</v>
      </c>
      <c r="E393" s="14" t="s">
        <v>17</v>
      </c>
      <c r="F393" s="14" t="s">
        <v>81</v>
      </c>
      <c r="G393" s="13" t="s">
        <v>83</v>
      </c>
      <c r="H393" s="14" t="s">
        <v>514</v>
      </c>
      <c r="I393" s="6" t="s">
        <v>3</v>
      </c>
      <c r="J393" s="3" t="s">
        <v>525</v>
      </c>
      <c r="K393" s="21">
        <v>60</v>
      </c>
      <c r="L393" s="24">
        <v>44841</v>
      </c>
    </row>
    <row r="394" spans="1:12" x14ac:dyDescent="0.25">
      <c r="A394" s="3" t="str">
        <f t="shared" si="13"/>
        <v>MOUSCUARTO D</v>
      </c>
      <c r="B394" s="6">
        <v>1</v>
      </c>
      <c r="C394" s="3" t="s">
        <v>6</v>
      </c>
      <c r="D394" s="14" t="s">
        <v>1</v>
      </c>
      <c r="E394" s="14" t="s">
        <v>81</v>
      </c>
      <c r="F394" s="14" t="s">
        <v>85</v>
      </c>
      <c r="G394" s="13" t="s">
        <v>83</v>
      </c>
      <c r="H394" s="14" t="s">
        <v>514</v>
      </c>
      <c r="I394" s="6" t="s">
        <v>3</v>
      </c>
      <c r="J394" s="3" t="s">
        <v>545</v>
      </c>
      <c r="K394" s="21">
        <v>6</v>
      </c>
      <c r="L394" s="24">
        <v>44841</v>
      </c>
    </row>
    <row r="395" spans="1:12" x14ac:dyDescent="0.25">
      <c r="A395" s="3" t="str">
        <f t="shared" si="13"/>
        <v>CPUCUARTO D</v>
      </c>
      <c r="B395" s="6">
        <v>1</v>
      </c>
      <c r="C395" s="3" t="s">
        <v>0</v>
      </c>
      <c r="D395" s="14" t="s">
        <v>1</v>
      </c>
      <c r="E395" s="14" t="s">
        <v>24</v>
      </c>
      <c r="F395" s="14" t="s">
        <v>81</v>
      </c>
      <c r="G395" s="13" t="s">
        <v>83</v>
      </c>
      <c r="H395" s="14" t="s">
        <v>514</v>
      </c>
      <c r="I395" s="6" t="s">
        <v>3</v>
      </c>
      <c r="J395" s="3" t="s">
        <v>526</v>
      </c>
      <c r="K395" s="21">
        <v>250</v>
      </c>
      <c r="L395" s="24">
        <v>44841</v>
      </c>
    </row>
    <row r="396" spans="1:12" x14ac:dyDescent="0.25">
      <c r="A396" s="3" t="str">
        <f t="shared" si="13"/>
        <v>TPLICUARTO D</v>
      </c>
      <c r="B396" s="6">
        <v>1</v>
      </c>
      <c r="C396" s="3" t="s">
        <v>705</v>
      </c>
      <c r="D396" s="14" t="s">
        <v>1</v>
      </c>
      <c r="E396" s="14" t="s">
        <v>706</v>
      </c>
      <c r="F396" s="14" t="s">
        <v>138</v>
      </c>
      <c r="G396" s="13" t="s">
        <v>707</v>
      </c>
      <c r="H396" s="14" t="s">
        <v>514</v>
      </c>
      <c r="I396" s="6" t="s">
        <v>3</v>
      </c>
      <c r="J396" s="3"/>
      <c r="K396" s="21">
        <v>305.69</v>
      </c>
      <c r="L396" s="24">
        <v>45985</v>
      </c>
    </row>
    <row r="397" spans="1:12" x14ac:dyDescent="0.25">
      <c r="A397" s="3" t="str">
        <f t="shared" si="13"/>
        <v>TPLICUARTO D</v>
      </c>
      <c r="B397" s="6">
        <v>2</v>
      </c>
      <c r="C397" s="3" t="s">
        <v>705</v>
      </c>
      <c r="D397" s="14" t="s">
        <v>1</v>
      </c>
      <c r="E397" s="14" t="s">
        <v>706</v>
      </c>
      <c r="F397" s="14" t="s">
        <v>138</v>
      </c>
      <c r="G397" s="13" t="s">
        <v>708</v>
      </c>
      <c r="H397" s="14" t="s">
        <v>514</v>
      </c>
      <c r="I397" s="6" t="s">
        <v>3</v>
      </c>
      <c r="J397" s="3"/>
      <c r="K397" s="21">
        <v>532.5</v>
      </c>
      <c r="L397" s="24">
        <v>45985</v>
      </c>
    </row>
    <row r="398" spans="1:12" x14ac:dyDescent="0.25">
      <c r="A398" s="3" t="str">
        <f t="shared" si="13"/>
        <v>TPLICUARTO D</v>
      </c>
      <c r="B398" s="6">
        <v>2</v>
      </c>
      <c r="C398" s="3" t="s">
        <v>705</v>
      </c>
      <c r="D398" s="14" t="s">
        <v>1</v>
      </c>
      <c r="E398" s="14" t="s">
        <v>706</v>
      </c>
      <c r="F398" s="14" t="s">
        <v>138</v>
      </c>
      <c r="G398" s="13" t="s">
        <v>709</v>
      </c>
      <c r="H398" s="14" t="s">
        <v>514</v>
      </c>
      <c r="I398" s="6" t="s">
        <v>3</v>
      </c>
      <c r="J398" s="3"/>
      <c r="K398" s="21">
        <v>461</v>
      </c>
      <c r="L398" s="24">
        <v>45985</v>
      </c>
    </row>
    <row r="399" spans="1:12" x14ac:dyDescent="0.25">
      <c r="A399" s="3" t="str">
        <f t="shared" si="13"/>
        <v>RACKCUARTO D</v>
      </c>
      <c r="B399" s="6">
        <v>1</v>
      </c>
      <c r="C399" s="3" t="s">
        <v>710</v>
      </c>
      <c r="D399" s="14" t="s">
        <v>1</v>
      </c>
      <c r="E399" s="14" t="s">
        <v>711</v>
      </c>
      <c r="F399" s="14" t="s">
        <v>85</v>
      </c>
      <c r="G399" s="13" t="s">
        <v>712</v>
      </c>
      <c r="H399" s="14" t="s">
        <v>514</v>
      </c>
      <c r="I399" s="6" t="s">
        <v>3</v>
      </c>
      <c r="J399" s="3" t="s">
        <v>713</v>
      </c>
      <c r="K399" s="21">
        <v>80</v>
      </c>
      <c r="L399" s="24">
        <v>45985</v>
      </c>
    </row>
    <row r="400" spans="1:12" x14ac:dyDescent="0.25">
      <c r="A400" s="3" t="str">
        <f t="shared" si="13"/>
        <v>RACKCUARTO D</v>
      </c>
      <c r="B400" s="6">
        <v>1</v>
      </c>
      <c r="C400" s="3" t="s">
        <v>710</v>
      </c>
      <c r="D400" s="14" t="s">
        <v>1</v>
      </c>
      <c r="E400" s="14" t="s">
        <v>711</v>
      </c>
      <c r="F400" s="14" t="s">
        <v>85</v>
      </c>
      <c r="G400" s="13" t="s">
        <v>712</v>
      </c>
      <c r="H400" s="14" t="s">
        <v>514</v>
      </c>
      <c r="I400" s="6" t="s">
        <v>3</v>
      </c>
      <c r="J400" s="3" t="s">
        <v>714</v>
      </c>
      <c r="K400" s="21">
        <v>80</v>
      </c>
      <c r="L400" s="24">
        <v>45985</v>
      </c>
    </row>
    <row r="401" spans="1:13" x14ac:dyDescent="0.25">
      <c r="A401" s="3" t="str">
        <f t="shared" si="13"/>
        <v>MULTCUARTO D</v>
      </c>
      <c r="B401" s="6">
        <v>1</v>
      </c>
      <c r="C401" s="3" t="s">
        <v>715</v>
      </c>
      <c r="D401" s="14" t="s">
        <v>1</v>
      </c>
      <c r="E401" s="14" t="s">
        <v>716</v>
      </c>
      <c r="F401" s="14" t="s">
        <v>85</v>
      </c>
      <c r="G401" s="13" t="s">
        <v>717</v>
      </c>
      <c r="H401" s="14" t="s">
        <v>514</v>
      </c>
      <c r="I401" s="6" t="s">
        <v>3</v>
      </c>
      <c r="J401" s="3" t="s">
        <v>718</v>
      </c>
      <c r="K401" s="21">
        <v>38.56</v>
      </c>
      <c r="L401" s="24">
        <v>45985</v>
      </c>
    </row>
    <row r="402" spans="1:13" x14ac:dyDescent="0.25">
      <c r="A402" s="9" t="s">
        <v>70</v>
      </c>
      <c r="B402" s="9" t="s">
        <v>69</v>
      </c>
      <c r="C402" s="9" t="s">
        <v>71</v>
      </c>
      <c r="D402" s="9" t="s">
        <v>63</v>
      </c>
      <c r="E402" s="9" t="s">
        <v>64</v>
      </c>
      <c r="F402" s="9" t="s">
        <v>65</v>
      </c>
      <c r="G402" s="10" t="s">
        <v>78</v>
      </c>
      <c r="H402" s="9" t="s">
        <v>66</v>
      </c>
      <c r="I402" s="9" t="s">
        <v>67</v>
      </c>
      <c r="J402" s="9" t="s">
        <v>72</v>
      </c>
      <c r="K402" s="22" t="s">
        <v>68</v>
      </c>
      <c r="L402" s="30" t="s">
        <v>584</v>
      </c>
      <c r="M402" s="1"/>
    </row>
    <row r="403" spans="1:13" x14ac:dyDescent="0.25">
      <c r="A403" s="3" t="str">
        <f t="shared" ref="A403:A458" si="14">CONCATENATE(LEFT(C403,4),LEFT(H403,8))</f>
        <v>TECLBODEGA G</v>
      </c>
      <c r="B403" s="6">
        <v>1</v>
      </c>
      <c r="C403" s="3" t="s">
        <v>11</v>
      </c>
      <c r="D403" s="14" t="s">
        <v>1</v>
      </c>
      <c r="E403" s="14" t="s">
        <v>14</v>
      </c>
      <c r="F403" s="14" t="s">
        <v>600</v>
      </c>
      <c r="G403" s="13" t="s">
        <v>601</v>
      </c>
      <c r="H403" s="14" t="s">
        <v>580</v>
      </c>
      <c r="I403" s="6" t="s">
        <v>3</v>
      </c>
      <c r="J403" s="3" t="s">
        <v>572</v>
      </c>
      <c r="K403" s="21">
        <v>10</v>
      </c>
      <c r="L403" s="24">
        <v>44292</v>
      </c>
    </row>
    <row r="404" spans="1:13" x14ac:dyDescent="0.25">
      <c r="A404" s="3" t="str">
        <f t="shared" si="14"/>
        <v>TECLBODEGA G</v>
      </c>
      <c r="B404" s="6">
        <v>1</v>
      </c>
      <c r="C404" s="3" t="s">
        <v>11</v>
      </c>
      <c r="D404" s="14" t="s">
        <v>1</v>
      </c>
      <c r="E404" s="14" t="s">
        <v>13</v>
      </c>
      <c r="F404" s="14" t="s">
        <v>116</v>
      </c>
      <c r="G404" s="13" t="s">
        <v>602</v>
      </c>
      <c r="H404" s="14" t="s">
        <v>580</v>
      </c>
      <c r="I404" s="6" t="s">
        <v>3</v>
      </c>
      <c r="J404" s="3" t="s">
        <v>571</v>
      </c>
      <c r="K404" s="21">
        <v>12</v>
      </c>
      <c r="L404" s="24">
        <v>44292</v>
      </c>
    </row>
    <row r="405" spans="1:13" x14ac:dyDescent="0.25">
      <c r="A405" s="3" t="str">
        <f t="shared" si="14"/>
        <v>TECLBODEGA G</v>
      </c>
      <c r="B405" s="6">
        <v>1</v>
      </c>
      <c r="C405" s="3" t="s">
        <v>11</v>
      </c>
      <c r="D405" s="14" t="s">
        <v>1</v>
      </c>
      <c r="E405" s="14" t="s">
        <v>25</v>
      </c>
      <c r="F405" s="14" t="s">
        <v>85</v>
      </c>
      <c r="G405" s="13" t="s">
        <v>603</v>
      </c>
      <c r="H405" s="14" t="s">
        <v>580</v>
      </c>
      <c r="I405" s="6" t="s">
        <v>3</v>
      </c>
      <c r="J405" s="3" t="s">
        <v>571</v>
      </c>
      <c r="K405" s="21">
        <v>12</v>
      </c>
      <c r="L405" s="24">
        <v>44292</v>
      </c>
    </row>
    <row r="406" spans="1:13" x14ac:dyDescent="0.25">
      <c r="A406" s="3" t="str">
        <f t="shared" si="14"/>
        <v>TECLBODEGA G</v>
      </c>
      <c r="B406" s="6">
        <v>1</v>
      </c>
      <c r="C406" s="3" t="s">
        <v>11</v>
      </c>
      <c r="D406" s="14" t="s">
        <v>1</v>
      </c>
      <c r="E406" s="14" t="s">
        <v>18</v>
      </c>
      <c r="F406" s="14" t="s">
        <v>85</v>
      </c>
      <c r="G406" s="13" t="s">
        <v>83</v>
      </c>
      <c r="H406" s="14" t="s">
        <v>580</v>
      </c>
      <c r="I406" s="6" t="s">
        <v>3</v>
      </c>
      <c r="J406" s="3" t="s">
        <v>570</v>
      </c>
      <c r="K406" s="21">
        <v>12</v>
      </c>
      <c r="L406" s="24">
        <v>44292</v>
      </c>
    </row>
    <row r="407" spans="1:13" x14ac:dyDescent="0.25">
      <c r="A407" s="3" t="str">
        <f t="shared" si="14"/>
        <v>TECLBODEGA G</v>
      </c>
      <c r="B407" s="6">
        <v>1</v>
      </c>
      <c r="C407" s="3" t="s">
        <v>11</v>
      </c>
      <c r="D407" s="14" t="s">
        <v>1</v>
      </c>
      <c r="E407" s="14" t="s">
        <v>13</v>
      </c>
      <c r="F407" s="14" t="s">
        <v>116</v>
      </c>
      <c r="G407" s="13" t="s">
        <v>604</v>
      </c>
      <c r="H407" s="14" t="s">
        <v>580</v>
      </c>
      <c r="I407" s="6" t="s">
        <v>3</v>
      </c>
      <c r="J407" s="3" t="s">
        <v>571</v>
      </c>
      <c r="K407" s="21">
        <v>12</v>
      </c>
      <c r="L407" s="24">
        <v>44292</v>
      </c>
    </row>
    <row r="408" spans="1:13" x14ac:dyDescent="0.25">
      <c r="A408" s="3" t="str">
        <f t="shared" si="14"/>
        <v>TECLBODEGA G</v>
      </c>
      <c r="B408" s="6">
        <v>1</v>
      </c>
      <c r="C408" s="3" t="s">
        <v>11</v>
      </c>
      <c r="D408" s="14" t="s">
        <v>261</v>
      </c>
      <c r="E408" s="14" t="s">
        <v>605</v>
      </c>
      <c r="F408" s="14" t="s">
        <v>606</v>
      </c>
      <c r="G408" s="13" t="s">
        <v>607</v>
      </c>
      <c r="H408" s="14" t="s">
        <v>580</v>
      </c>
      <c r="I408" s="6" t="s">
        <v>3</v>
      </c>
      <c r="J408" s="3" t="s">
        <v>571</v>
      </c>
      <c r="K408" s="21">
        <v>12</v>
      </c>
      <c r="L408" s="24">
        <v>44292</v>
      </c>
    </row>
    <row r="409" spans="1:13" x14ac:dyDescent="0.25">
      <c r="A409" s="3" t="str">
        <f t="shared" si="14"/>
        <v>MOUSBODEGA G</v>
      </c>
      <c r="B409" s="6">
        <v>2</v>
      </c>
      <c r="C409" s="3" t="s">
        <v>6</v>
      </c>
      <c r="D409" s="14" t="s">
        <v>1</v>
      </c>
      <c r="E409" s="14" t="s">
        <v>14</v>
      </c>
      <c r="F409" s="14" t="s">
        <v>608</v>
      </c>
      <c r="G409" s="13" t="s">
        <v>609</v>
      </c>
      <c r="H409" s="14" t="s">
        <v>580</v>
      </c>
      <c r="I409" s="6" t="s">
        <v>3</v>
      </c>
      <c r="J409" s="3" t="s">
        <v>540</v>
      </c>
      <c r="K409" s="21">
        <v>6</v>
      </c>
      <c r="L409" s="24">
        <v>44292</v>
      </c>
    </row>
    <row r="410" spans="1:13" x14ac:dyDescent="0.25">
      <c r="A410" s="3" t="str">
        <f t="shared" ref="A410:A427" si="15">CONCATENATE(LEFT(C410,4),LEFT(H410,8))</f>
        <v>SWITBODEGA G</v>
      </c>
      <c r="B410" s="6">
        <v>1</v>
      </c>
      <c r="C410" s="3" t="s">
        <v>103</v>
      </c>
      <c r="D410" s="14" t="s">
        <v>1</v>
      </c>
      <c r="E410" s="14" t="s">
        <v>138</v>
      </c>
      <c r="F410" s="14" t="s">
        <v>610</v>
      </c>
      <c r="G410" s="13" t="s">
        <v>83</v>
      </c>
      <c r="H410" s="14" t="s">
        <v>580</v>
      </c>
      <c r="I410" s="6" t="s">
        <v>10</v>
      </c>
      <c r="J410" s="3" t="s">
        <v>660</v>
      </c>
      <c r="K410" s="2">
        <v>5</v>
      </c>
      <c r="L410" s="24">
        <v>44232</v>
      </c>
    </row>
    <row r="411" spans="1:13" x14ac:dyDescent="0.25">
      <c r="A411" s="3" t="str">
        <f t="shared" si="15"/>
        <v>DVRBODEGA G</v>
      </c>
      <c r="B411" s="6">
        <v>1</v>
      </c>
      <c r="C411" s="3" t="s">
        <v>507</v>
      </c>
      <c r="D411" s="14" t="s">
        <v>9</v>
      </c>
      <c r="E411" s="14" t="s">
        <v>53</v>
      </c>
      <c r="F411" s="14" t="s">
        <v>611</v>
      </c>
      <c r="G411" s="13" t="s">
        <v>612</v>
      </c>
      <c r="H411" s="14" t="s">
        <v>580</v>
      </c>
      <c r="I411" s="6" t="s">
        <v>10</v>
      </c>
      <c r="J411" s="3" t="s">
        <v>613</v>
      </c>
      <c r="K411" s="2">
        <v>10</v>
      </c>
      <c r="L411" s="24">
        <v>44292</v>
      </c>
    </row>
    <row r="412" spans="1:13" x14ac:dyDescent="0.25">
      <c r="A412" s="3" t="str">
        <f t="shared" si="15"/>
        <v>CORTBODEGA G</v>
      </c>
      <c r="B412" s="6">
        <v>2</v>
      </c>
      <c r="C412" s="3" t="s">
        <v>553</v>
      </c>
      <c r="D412" s="14" t="s">
        <v>9</v>
      </c>
      <c r="E412" s="14" t="s">
        <v>289</v>
      </c>
      <c r="F412" s="14" t="s">
        <v>614</v>
      </c>
      <c r="G412" s="13" t="s">
        <v>83</v>
      </c>
      <c r="H412" s="14" t="s">
        <v>580</v>
      </c>
      <c r="I412" s="6" t="s">
        <v>3</v>
      </c>
      <c r="J412" s="3" t="s">
        <v>291</v>
      </c>
      <c r="K412" s="2">
        <v>10</v>
      </c>
      <c r="L412" s="24">
        <v>44292</v>
      </c>
    </row>
    <row r="413" spans="1:13" x14ac:dyDescent="0.25">
      <c r="A413" s="3" t="str">
        <f t="shared" si="15"/>
        <v>CAJEBODEGA G</v>
      </c>
      <c r="B413" s="6">
        <v>4</v>
      </c>
      <c r="C413" s="3" t="s">
        <v>615</v>
      </c>
      <c r="D413" s="14" t="s">
        <v>9</v>
      </c>
      <c r="E413" s="14" t="s">
        <v>616</v>
      </c>
      <c r="F413" s="14" t="s">
        <v>85</v>
      </c>
      <c r="G413" s="13" t="s">
        <v>83</v>
      </c>
      <c r="H413" s="14" t="s">
        <v>580</v>
      </c>
      <c r="I413" s="6" t="s">
        <v>3</v>
      </c>
      <c r="J413" s="3" t="s">
        <v>661</v>
      </c>
      <c r="K413" s="2">
        <v>20</v>
      </c>
      <c r="L413" s="24">
        <v>44292</v>
      </c>
    </row>
    <row r="414" spans="1:13" x14ac:dyDescent="0.25">
      <c r="A414" s="3" t="str">
        <f t="shared" si="15"/>
        <v>REGUBODEGA G</v>
      </c>
      <c r="B414" s="6">
        <v>1</v>
      </c>
      <c r="C414" s="3" t="s">
        <v>8</v>
      </c>
      <c r="D414" s="14" t="s">
        <v>1</v>
      </c>
      <c r="E414" s="14" t="s">
        <v>618</v>
      </c>
      <c r="F414" s="14" t="s">
        <v>619</v>
      </c>
      <c r="G414" s="13" t="s">
        <v>620</v>
      </c>
      <c r="H414" s="14" t="s">
        <v>580</v>
      </c>
      <c r="I414" s="6" t="s">
        <v>3</v>
      </c>
      <c r="J414" s="3" t="s">
        <v>621</v>
      </c>
      <c r="K414" s="2">
        <v>10</v>
      </c>
      <c r="L414" s="24">
        <v>44292</v>
      </c>
    </row>
    <row r="415" spans="1:13" x14ac:dyDescent="0.25">
      <c r="A415" s="3" t="str">
        <f t="shared" si="15"/>
        <v>PARLBODEGA G</v>
      </c>
      <c r="B415" s="6">
        <v>1</v>
      </c>
      <c r="C415" s="3" t="s">
        <v>622</v>
      </c>
      <c r="D415" s="14" t="s">
        <v>440</v>
      </c>
      <c r="E415" s="14" t="s">
        <v>25</v>
      </c>
      <c r="F415" s="14" t="s">
        <v>85</v>
      </c>
      <c r="G415" s="13" t="s">
        <v>623</v>
      </c>
      <c r="H415" s="14" t="s">
        <v>580</v>
      </c>
      <c r="I415" s="6" t="s">
        <v>3</v>
      </c>
      <c r="J415" s="3" t="s">
        <v>662</v>
      </c>
      <c r="K415" s="2">
        <v>5</v>
      </c>
      <c r="L415" s="24">
        <v>44292</v>
      </c>
    </row>
    <row r="416" spans="1:13" x14ac:dyDescent="0.25">
      <c r="A416" s="3" t="str">
        <f t="shared" si="15"/>
        <v>CONVBODEGA G</v>
      </c>
      <c r="B416" s="6">
        <v>2</v>
      </c>
      <c r="C416" s="3" t="s">
        <v>624</v>
      </c>
      <c r="D416" s="14" t="s">
        <v>1</v>
      </c>
      <c r="E416" s="14" t="s">
        <v>625</v>
      </c>
      <c r="F416" s="14" t="s">
        <v>85</v>
      </c>
      <c r="G416" s="13" t="s">
        <v>83</v>
      </c>
      <c r="H416" s="14" t="s">
        <v>580</v>
      </c>
      <c r="I416" s="6" t="s">
        <v>3</v>
      </c>
      <c r="J416" s="3" t="s">
        <v>663</v>
      </c>
      <c r="K416" s="2">
        <v>6</v>
      </c>
      <c r="L416" s="24">
        <v>44292</v>
      </c>
    </row>
    <row r="417" spans="1:12" x14ac:dyDescent="0.25">
      <c r="A417" s="3" t="str">
        <f t="shared" si="15"/>
        <v>CAMABODEGA G</v>
      </c>
      <c r="B417" s="6">
        <v>1</v>
      </c>
      <c r="C417" s="3" t="s">
        <v>202</v>
      </c>
      <c r="D417" s="14" t="s">
        <v>261</v>
      </c>
      <c r="E417" s="14" t="s">
        <v>626</v>
      </c>
      <c r="F417" s="14" t="s">
        <v>627</v>
      </c>
      <c r="G417" s="13" t="s">
        <v>628</v>
      </c>
      <c r="H417" s="14" t="s">
        <v>580</v>
      </c>
      <c r="I417" s="6" t="s">
        <v>10</v>
      </c>
      <c r="J417" s="3" t="s">
        <v>664</v>
      </c>
      <c r="K417" s="2">
        <v>5</v>
      </c>
      <c r="L417" s="24">
        <v>44292</v>
      </c>
    </row>
    <row r="418" spans="1:12" x14ac:dyDescent="0.25">
      <c r="A418" s="3" t="str">
        <f t="shared" si="15"/>
        <v>BASEBODEGA G</v>
      </c>
      <c r="B418" s="6">
        <v>1</v>
      </c>
      <c r="C418" s="3" t="s">
        <v>148</v>
      </c>
      <c r="D418" s="14" t="s">
        <v>1</v>
      </c>
      <c r="E418" s="14" t="s">
        <v>629</v>
      </c>
      <c r="F418" s="14" t="s">
        <v>630</v>
      </c>
      <c r="G418" s="13" t="s">
        <v>631</v>
      </c>
      <c r="H418" s="14" t="s">
        <v>580</v>
      </c>
      <c r="I418" s="6" t="s">
        <v>3</v>
      </c>
      <c r="J418" s="3" t="s">
        <v>665</v>
      </c>
      <c r="K418" s="2">
        <v>20</v>
      </c>
      <c r="L418" s="24">
        <v>44841</v>
      </c>
    </row>
    <row r="419" spans="1:12" x14ac:dyDescent="0.25">
      <c r="A419" s="3" t="str">
        <f t="shared" si="15"/>
        <v>PLUBBODEGA G</v>
      </c>
      <c r="B419" s="6">
        <v>5</v>
      </c>
      <c r="C419" s="3" t="s">
        <v>632</v>
      </c>
      <c r="D419" s="14" t="s">
        <v>1</v>
      </c>
      <c r="E419" s="14" t="s">
        <v>633</v>
      </c>
      <c r="F419" s="14" t="s">
        <v>634</v>
      </c>
      <c r="G419" s="13" t="s">
        <v>83</v>
      </c>
      <c r="H419" s="14" t="s">
        <v>580</v>
      </c>
      <c r="I419" s="6" t="s">
        <v>3</v>
      </c>
      <c r="J419" s="3" t="s">
        <v>666</v>
      </c>
      <c r="K419" s="2">
        <v>7.5</v>
      </c>
      <c r="L419" s="24">
        <v>44841</v>
      </c>
    </row>
    <row r="420" spans="1:12" x14ac:dyDescent="0.25">
      <c r="A420" s="3" t="str">
        <f t="shared" si="15"/>
        <v>MONIBODEGA G</v>
      </c>
      <c r="B420" s="6">
        <v>1</v>
      </c>
      <c r="C420" s="3" t="s">
        <v>4</v>
      </c>
      <c r="D420" s="14" t="s">
        <v>1</v>
      </c>
      <c r="E420" s="14" t="s">
        <v>17</v>
      </c>
      <c r="F420" s="14" t="s">
        <v>635</v>
      </c>
      <c r="G420" s="13" t="s">
        <v>636</v>
      </c>
      <c r="H420" s="14" t="s">
        <v>580</v>
      </c>
      <c r="I420" s="6" t="s">
        <v>3</v>
      </c>
      <c r="J420" s="3" t="s">
        <v>667</v>
      </c>
      <c r="K420" s="2">
        <v>40</v>
      </c>
      <c r="L420" s="24">
        <v>44841</v>
      </c>
    </row>
    <row r="421" spans="1:12" x14ac:dyDescent="0.25">
      <c r="A421" s="3" t="str">
        <f t="shared" si="15"/>
        <v>MONIBODEGA G</v>
      </c>
      <c r="B421" s="6">
        <v>1</v>
      </c>
      <c r="C421" s="3" t="s">
        <v>4</v>
      </c>
      <c r="D421" s="14" t="s">
        <v>1</v>
      </c>
      <c r="E421" s="14" t="s">
        <v>17</v>
      </c>
      <c r="F421" s="14" t="s">
        <v>637</v>
      </c>
      <c r="G421" s="13" t="s">
        <v>638</v>
      </c>
      <c r="H421" s="14" t="s">
        <v>580</v>
      </c>
      <c r="I421" s="6" t="s">
        <v>3</v>
      </c>
      <c r="J421" s="3" t="s">
        <v>525</v>
      </c>
      <c r="K421" s="2">
        <v>50</v>
      </c>
      <c r="L421" s="24">
        <v>44841</v>
      </c>
    </row>
    <row r="422" spans="1:12" x14ac:dyDescent="0.25">
      <c r="A422" s="3" t="str">
        <f t="shared" si="15"/>
        <v>BASEBODEGA G</v>
      </c>
      <c r="B422" s="6">
        <v>3</v>
      </c>
      <c r="C422" s="3" t="s">
        <v>639</v>
      </c>
      <c r="D422" s="14" t="s">
        <v>1</v>
      </c>
      <c r="E422" s="14" t="s">
        <v>85</v>
      </c>
      <c r="F422" s="14" t="s">
        <v>85</v>
      </c>
      <c r="G422" s="13" t="s">
        <v>83</v>
      </c>
      <c r="H422" s="14" t="s">
        <v>580</v>
      </c>
      <c r="I422" s="6" t="s">
        <v>3</v>
      </c>
      <c r="J422" s="3" t="s">
        <v>668</v>
      </c>
      <c r="K422" s="2">
        <v>5</v>
      </c>
      <c r="L422" s="24">
        <v>44841</v>
      </c>
    </row>
    <row r="423" spans="1:12" x14ac:dyDescent="0.25">
      <c r="A423" s="3" t="str">
        <f t="shared" si="15"/>
        <v>SOPOBODEGA G</v>
      </c>
      <c r="B423" s="6">
        <v>1</v>
      </c>
      <c r="C423" s="3" t="s">
        <v>669</v>
      </c>
      <c r="D423" s="14" t="s">
        <v>1</v>
      </c>
      <c r="E423" s="14" t="s">
        <v>85</v>
      </c>
      <c r="F423" s="14" t="s">
        <v>85</v>
      </c>
      <c r="G423" s="13" t="s">
        <v>83</v>
      </c>
      <c r="H423" s="14" t="s">
        <v>580</v>
      </c>
      <c r="I423" s="6" t="s">
        <v>3</v>
      </c>
      <c r="J423" s="3" t="s">
        <v>670</v>
      </c>
      <c r="K423" s="2">
        <v>15</v>
      </c>
      <c r="L423" s="24">
        <v>44292</v>
      </c>
    </row>
    <row r="424" spans="1:12" x14ac:dyDescent="0.25">
      <c r="A424" s="3" t="str">
        <f t="shared" si="15"/>
        <v>PANTBODEGA G</v>
      </c>
      <c r="B424" s="6">
        <v>2</v>
      </c>
      <c r="C424" s="3" t="s">
        <v>642</v>
      </c>
      <c r="D424" s="14" t="s">
        <v>9</v>
      </c>
      <c r="E424" s="14" t="s">
        <v>640</v>
      </c>
      <c r="F424" s="14" t="s">
        <v>85</v>
      </c>
      <c r="G424" s="13" t="s">
        <v>641</v>
      </c>
      <c r="H424" s="14" t="s">
        <v>580</v>
      </c>
      <c r="I424" s="6" t="s">
        <v>3</v>
      </c>
      <c r="J424" s="3" t="s">
        <v>672</v>
      </c>
      <c r="K424" s="2">
        <v>65.73</v>
      </c>
      <c r="L424" s="24">
        <v>44292</v>
      </c>
    </row>
    <row r="425" spans="1:12" x14ac:dyDescent="0.25">
      <c r="A425" s="3" t="str">
        <f t="shared" si="15"/>
        <v>PANTBODEGA G</v>
      </c>
      <c r="B425" s="6">
        <v>1</v>
      </c>
      <c r="C425" s="3" t="s">
        <v>642</v>
      </c>
      <c r="D425" s="14" t="s">
        <v>9</v>
      </c>
      <c r="E425" s="14" t="s">
        <v>643</v>
      </c>
      <c r="F425" s="14" t="s">
        <v>85</v>
      </c>
      <c r="G425" s="13" t="s">
        <v>644</v>
      </c>
      <c r="H425" s="14" t="s">
        <v>580</v>
      </c>
      <c r="I425" s="6" t="s">
        <v>3</v>
      </c>
      <c r="J425" s="3" t="s">
        <v>671</v>
      </c>
      <c r="K425" s="2">
        <v>29.47</v>
      </c>
      <c r="L425" s="24">
        <v>44292</v>
      </c>
    </row>
    <row r="426" spans="1:12" x14ac:dyDescent="0.25">
      <c r="A426" s="3" t="str">
        <f t="shared" si="15"/>
        <v>CABLBODEGA G</v>
      </c>
      <c r="B426" s="6">
        <v>3</v>
      </c>
      <c r="C426" s="3" t="s">
        <v>645</v>
      </c>
      <c r="D426" s="14" t="s">
        <v>646</v>
      </c>
      <c r="E426" s="14" t="s">
        <v>85</v>
      </c>
      <c r="F426" s="14" t="s">
        <v>85</v>
      </c>
      <c r="G426" s="13" t="s">
        <v>83</v>
      </c>
      <c r="H426" s="14" t="s">
        <v>580</v>
      </c>
      <c r="I426" s="6" t="s">
        <v>3</v>
      </c>
      <c r="J426" s="3" t="s">
        <v>673</v>
      </c>
      <c r="K426" s="2">
        <v>30</v>
      </c>
      <c r="L426" s="24">
        <v>44292</v>
      </c>
    </row>
    <row r="427" spans="1:12" x14ac:dyDescent="0.25">
      <c r="A427" s="3" t="str">
        <f t="shared" si="15"/>
        <v>CABLBODEGA G</v>
      </c>
      <c r="B427" s="6">
        <v>1</v>
      </c>
      <c r="C427" s="3" t="s">
        <v>647</v>
      </c>
      <c r="D427" s="14" t="s">
        <v>9</v>
      </c>
      <c r="E427" s="14" t="s">
        <v>85</v>
      </c>
      <c r="F427" s="14" t="s">
        <v>85</v>
      </c>
      <c r="G427" s="13" t="s">
        <v>83</v>
      </c>
      <c r="H427" s="14" t="s">
        <v>580</v>
      </c>
      <c r="I427" s="6" t="s">
        <v>3</v>
      </c>
      <c r="J427" s="3" t="s">
        <v>674</v>
      </c>
      <c r="K427" s="2">
        <v>4</v>
      </c>
      <c r="L427" s="24">
        <v>44292</v>
      </c>
    </row>
    <row r="428" spans="1:12" x14ac:dyDescent="0.25">
      <c r="A428" s="3" t="str">
        <f t="shared" si="14"/>
        <v>CABLBODEGA G</v>
      </c>
      <c r="B428" s="6">
        <v>5</v>
      </c>
      <c r="C428" s="3" t="s">
        <v>648</v>
      </c>
      <c r="D428" s="14" t="s">
        <v>158</v>
      </c>
      <c r="E428" s="14" t="s">
        <v>85</v>
      </c>
      <c r="F428" s="14" t="s">
        <v>85</v>
      </c>
      <c r="G428" s="13" t="s">
        <v>83</v>
      </c>
      <c r="H428" s="14" t="s">
        <v>580</v>
      </c>
      <c r="I428" s="6" t="s">
        <v>3</v>
      </c>
      <c r="J428" s="3" t="s">
        <v>675</v>
      </c>
      <c r="K428" s="2">
        <v>4</v>
      </c>
      <c r="L428" s="24">
        <v>44841</v>
      </c>
    </row>
    <row r="429" spans="1:12" x14ac:dyDescent="0.25">
      <c r="A429" s="3" t="str">
        <f t="shared" si="14"/>
        <v>CABLBODEGA G</v>
      </c>
      <c r="B429" s="6">
        <v>3</v>
      </c>
      <c r="C429" s="3" t="s">
        <v>648</v>
      </c>
      <c r="D429" s="14" t="s">
        <v>1</v>
      </c>
      <c r="E429" s="14" t="s">
        <v>85</v>
      </c>
      <c r="F429" s="14" t="s">
        <v>85</v>
      </c>
      <c r="G429" s="13" t="s">
        <v>83</v>
      </c>
      <c r="H429" s="14" t="s">
        <v>580</v>
      </c>
      <c r="I429" s="6" t="s">
        <v>3</v>
      </c>
      <c r="J429" s="3" t="s">
        <v>676</v>
      </c>
      <c r="K429" s="21">
        <v>30</v>
      </c>
      <c r="L429" s="24">
        <v>44841</v>
      </c>
    </row>
    <row r="430" spans="1:12" x14ac:dyDescent="0.25">
      <c r="A430" s="3" t="str">
        <f t="shared" si="14"/>
        <v>CABLBODEGA G</v>
      </c>
      <c r="B430" s="6">
        <v>3</v>
      </c>
      <c r="C430" s="3" t="s">
        <v>649</v>
      </c>
      <c r="D430" s="14" t="s">
        <v>1</v>
      </c>
      <c r="E430" s="14" t="s">
        <v>85</v>
      </c>
      <c r="F430" s="14" t="s">
        <v>85</v>
      </c>
      <c r="G430" s="13" t="s">
        <v>83</v>
      </c>
      <c r="H430" s="14" t="s">
        <v>580</v>
      </c>
      <c r="I430" s="6" t="s">
        <v>3</v>
      </c>
      <c r="J430" s="3" t="s">
        <v>677</v>
      </c>
      <c r="K430" s="21">
        <v>36</v>
      </c>
      <c r="L430" s="24">
        <v>44841</v>
      </c>
    </row>
    <row r="431" spans="1:12" x14ac:dyDescent="0.25">
      <c r="A431" s="3" t="str">
        <f t="shared" si="14"/>
        <v>CABLBODEGA G</v>
      </c>
      <c r="B431" s="6">
        <v>1</v>
      </c>
      <c r="C431" s="3" t="s">
        <v>650</v>
      </c>
      <c r="D431" s="14" t="s">
        <v>440</v>
      </c>
      <c r="E431" s="14" t="s">
        <v>85</v>
      </c>
      <c r="F431" s="14" t="s">
        <v>85</v>
      </c>
      <c r="G431" s="13" t="s">
        <v>83</v>
      </c>
      <c r="H431" s="14" t="s">
        <v>580</v>
      </c>
      <c r="I431" s="6" t="s">
        <v>3</v>
      </c>
      <c r="J431" s="3" t="s">
        <v>678</v>
      </c>
      <c r="K431" s="21">
        <v>15</v>
      </c>
      <c r="L431" s="24">
        <v>44841</v>
      </c>
    </row>
    <row r="432" spans="1:12" x14ac:dyDescent="0.25">
      <c r="A432" s="3" t="str">
        <f t="shared" si="14"/>
        <v>CONVBODEGA G</v>
      </c>
      <c r="B432" s="6">
        <v>1</v>
      </c>
      <c r="C432" s="3" t="s">
        <v>651</v>
      </c>
      <c r="D432" s="14" t="s">
        <v>9</v>
      </c>
      <c r="E432" s="14" t="s">
        <v>652</v>
      </c>
      <c r="F432" s="14" t="s">
        <v>85</v>
      </c>
      <c r="G432" s="13" t="s">
        <v>83</v>
      </c>
      <c r="H432" s="14" t="s">
        <v>580</v>
      </c>
      <c r="I432" s="6" t="s">
        <v>3</v>
      </c>
      <c r="J432" s="3" t="s">
        <v>679</v>
      </c>
      <c r="K432" s="21">
        <v>4</v>
      </c>
      <c r="L432" s="24">
        <v>44841</v>
      </c>
    </row>
    <row r="433" spans="1:12" x14ac:dyDescent="0.25">
      <c r="A433" s="3" t="str">
        <f t="shared" si="14"/>
        <v>CABLBODEGA G</v>
      </c>
      <c r="B433" s="6">
        <v>5</v>
      </c>
      <c r="C433" s="3" t="s">
        <v>653</v>
      </c>
      <c r="D433" s="14" t="s">
        <v>1</v>
      </c>
      <c r="E433" s="14" t="s">
        <v>85</v>
      </c>
      <c r="F433" s="14" t="s">
        <v>85</v>
      </c>
      <c r="G433" s="13" t="s">
        <v>83</v>
      </c>
      <c r="H433" s="14" t="s">
        <v>580</v>
      </c>
      <c r="I433" s="6" t="s">
        <v>3</v>
      </c>
      <c r="J433" s="3" t="s">
        <v>680</v>
      </c>
      <c r="K433" s="21">
        <v>7.5</v>
      </c>
      <c r="L433" s="24">
        <v>44841</v>
      </c>
    </row>
    <row r="434" spans="1:12" x14ac:dyDescent="0.25">
      <c r="A434" s="3" t="str">
        <f t="shared" si="14"/>
        <v>CABLBODEGA G</v>
      </c>
      <c r="B434" s="6">
        <v>2</v>
      </c>
      <c r="C434" s="3" t="s">
        <v>654</v>
      </c>
      <c r="D434" s="14" t="s">
        <v>1</v>
      </c>
      <c r="E434" s="14" t="s">
        <v>85</v>
      </c>
      <c r="F434" s="14" t="s">
        <v>85</v>
      </c>
      <c r="G434" s="13" t="s">
        <v>83</v>
      </c>
      <c r="H434" s="14" t="s">
        <v>580</v>
      </c>
      <c r="I434" s="6" t="s">
        <v>3</v>
      </c>
      <c r="J434" s="3" t="s">
        <v>681</v>
      </c>
      <c r="K434" s="21">
        <v>2</v>
      </c>
      <c r="L434" s="24">
        <v>44292</v>
      </c>
    </row>
    <row r="435" spans="1:12" x14ac:dyDescent="0.25">
      <c r="A435" s="3" t="str">
        <f t="shared" si="14"/>
        <v>CABLBODEGA G</v>
      </c>
      <c r="B435" s="6">
        <v>1</v>
      </c>
      <c r="C435" s="3" t="s">
        <v>655</v>
      </c>
      <c r="D435" s="14" t="s">
        <v>656</v>
      </c>
      <c r="E435" s="14" t="s">
        <v>85</v>
      </c>
      <c r="F435" s="14" t="s">
        <v>85</v>
      </c>
      <c r="G435" s="13" t="s">
        <v>83</v>
      </c>
      <c r="H435" s="14" t="s">
        <v>580</v>
      </c>
      <c r="I435" s="6" t="s">
        <v>3</v>
      </c>
      <c r="J435" s="3" t="s">
        <v>682</v>
      </c>
      <c r="K435" s="21">
        <v>10</v>
      </c>
      <c r="L435" s="24">
        <v>44841</v>
      </c>
    </row>
    <row r="436" spans="1:12" x14ac:dyDescent="0.25">
      <c r="A436" s="3" t="str">
        <f t="shared" si="14"/>
        <v>CABLBODEGA G</v>
      </c>
      <c r="B436" s="6">
        <v>1</v>
      </c>
      <c r="C436" s="3" t="s">
        <v>657</v>
      </c>
      <c r="D436" s="14" t="s">
        <v>1</v>
      </c>
      <c r="E436" s="14" t="s">
        <v>85</v>
      </c>
      <c r="F436" s="14" t="s">
        <v>85</v>
      </c>
      <c r="G436" s="13" t="s">
        <v>83</v>
      </c>
      <c r="H436" s="14" t="s">
        <v>580</v>
      </c>
      <c r="I436" s="6" t="s">
        <v>3</v>
      </c>
      <c r="J436" s="3" t="s">
        <v>683</v>
      </c>
      <c r="K436" s="21">
        <v>15</v>
      </c>
      <c r="L436" s="24">
        <v>44292</v>
      </c>
    </row>
    <row r="437" spans="1:12" x14ac:dyDescent="0.25">
      <c r="A437" s="3" t="str">
        <f t="shared" si="14"/>
        <v>CABLBODEGA G</v>
      </c>
      <c r="B437" s="6">
        <v>4</v>
      </c>
      <c r="C437" s="3" t="s">
        <v>658</v>
      </c>
      <c r="D437" s="14" t="s">
        <v>9</v>
      </c>
      <c r="E437" s="14" t="s">
        <v>85</v>
      </c>
      <c r="F437" s="14" t="s">
        <v>85</v>
      </c>
      <c r="G437" s="13" t="s">
        <v>83</v>
      </c>
      <c r="H437" s="14" t="s">
        <v>580</v>
      </c>
      <c r="I437" s="6" t="s">
        <v>3</v>
      </c>
      <c r="J437" s="3" t="s">
        <v>684</v>
      </c>
      <c r="K437" s="21">
        <v>4</v>
      </c>
      <c r="L437" s="24">
        <v>44292</v>
      </c>
    </row>
    <row r="438" spans="1:12" x14ac:dyDescent="0.25">
      <c r="A438" s="3" t="str">
        <f t="shared" si="14"/>
        <v>REGUBODEGA G</v>
      </c>
      <c r="B438" s="6">
        <v>1</v>
      </c>
      <c r="C438" s="3" t="s">
        <v>8</v>
      </c>
      <c r="D438" s="14" t="s">
        <v>1</v>
      </c>
      <c r="E438" s="14" t="s">
        <v>235</v>
      </c>
      <c r="F438" s="14" t="s">
        <v>236</v>
      </c>
      <c r="G438" s="13" t="s">
        <v>237</v>
      </c>
      <c r="H438" s="14" t="s">
        <v>580</v>
      </c>
      <c r="I438" s="6" t="s">
        <v>3</v>
      </c>
      <c r="J438" s="3" t="s">
        <v>238</v>
      </c>
      <c r="K438" s="23">
        <v>30</v>
      </c>
      <c r="L438" s="24">
        <v>44292</v>
      </c>
    </row>
    <row r="439" spans="1:12" x14ac:dyDescent="0.25">
      <c r="A439" s="3" t="str">
        <f t="shared" si="14"/>
        <v>PROYBODEGA G</v>
      </c>
      <c r="B439" s="6">
        <v>1</v>
      </c>
      <c r="C439" s="3" t="s">
        <v>45</v>
      </c>
      <c r="D439" s="14" t="s">
        <v>1</v>
      </c>
      <c r="E439" s="14" t="s">
        <v>46</v>
      </c>
      <c r="F439" s="14" t="s">
        <v>686</v>
      </c>
      <c r="G439" s="14" t="s">
        <v>685</v>
      </c>
      <c r="H439" s="14" t="s">
        <v>580</v>
      </c>
      <c r="I439" s="6" t="s">
        <v>3</v>
      </c>
      <c r="J439" s="3" t="s">
        <v>687</v>
      </c>
      <c r="K439" s="21">
        <v>400</v>
      </c>
      <c r="L439" s="24">
        <v>45288</v>
      </c>
    </row>
    <row r="440" spans="1:12" x14ac:dyDescent="0.25">
      <c r="A440" s="3" t="str">
        <f t="shared" si="14"/>
        <v/>
      </c>
      <c r="B440" s="6"/>
      <c r="C440" s="3"/>
      <c r="D440" s="14"/>
      <c r="E440" s="14"/>
      <c r="F440" s="14"/>
      <c r="G440" s="13"/>
      <c r="H440" s="14"/>
      <c r="I440" s="6"/>
      <c r="J440" s="3"/>
      <c r="K440" s="21"/>
      <c r="L440" s="3"/>
    </row>
    <row r="441" spans="1:12" x14ac:dyDescent="0.25">
      <c r="A441" s="3" t="str">
        <f t="shared" si="14"/>
        <v/>
      </c>
      <c r="B441" s="6"/>
      <c r="C441" s="3"/>
      <c r="D441" s="14"/>
      <c r="E441" s="14"/>
      <c r="F441" s="14"/>
      <c r="G441" s="13"/>
      <c r="H441" s="14"/>
      <c r="I441" s="6"/>
      <c r="J441" s="3"/>
      <c r="K441" s="21"/>
      <c r="L441" s="3"/>
    </row>
    <row r="442" spans="1:12" x14ac:dyDescent="0.25">
      <c r="A442" s="9" t="s">
        <v>70</v>
      </c>
      <c r="B442" s="9" t="s">
        <v>69</v>
      </c>
      <c r="C442" s="9" t="s">
        <v>71</v>
      </c>
      <c r="D442" s="9" t="s">
        <v>63</v>
      </c>
      <c r="E442" s="9" t="s">
        <v>64</v>
      </c>
      <c r="F442" s="9" t="s">
        <v>65</v>
      </c>
      <c r="G442" s="10" t="s">
        <v>78</v>
      </c>
      <c r="H442" s="9" t="s">
        <v>66</v>
      </c>
      <c r="I442" s="9" t="s">
        <v>67</v>
      </c>
      <c r="J442" s="9" t="s">
        <v>72</v>
      </c>
      <c r="K442" s="22" t="s">
        <v>68</v>
      </c>
      <c r="L442" s="30" t="s">
        <v>584</v>
      </c>
    </row>
    <row r="443" spans="1:12" x14ac:dyDescent="0.25">
      <c r="A443" s="3"/>
      <c r="B443" s="6"/>
      <c r="C443" s="3"/>
      <c r="D443" s="14"/>
      <c r="E443" s="14"/>
      <c r="F443" s="14"/>
      <c r="G443" s="13"/>
      <c r="H443" s="14" t="s">
        <v>617</v>
      </c>
      <c r="I443" s="6"/>
      <c r="J443" s="3"/>
      <c r="K443" s="3"/>
      <c r="L443" s="3"/>
    </row>
    <row r="444" spans="1:12" x14ac:dyDescent="0.25">
      <c r="A444" s="3"/>
      <c r="B444" s="6"/>
      <c r="C444" s="3"/>
      <c r="D444" s="14"/>
      <c r="E444" s="14"/>
      <c r="F444" s="14"/>
      <c r="G444" s="13"/>
      <c r="H444" s="14"/>
      <c r="I444" s="6"/>
      <c r="J444" s="3"/>
      <c r="K444" s="21"/>
      <c r="L444" s="3"/>
    </row>
    <row r="445" spans="1:12" x14ac:dyDescent="0.25">
      <c r="A445" s="3"/>
      <c r="B445" s="6"/>
      <c r="C445" s="3"/>
      <c r="D445" s="14"/>
      <c r="E445" s="14"/>
      <c r="F445" s="14"/>
      <c r="G445" s="13"/>
      <c r="H445" s="14"/>
      <c r="I445" s="6"/>
      <c r="J445" s="3"/>
      <c r="K445" s="21"/>
      <c r="L445" s="3"/>
    </row>
    <row r="446" spans="1:12" x14ac:dyDescent="0.25">
      <c r="A446" s="3"/>
      <c r="B446" s="6"/>
      <c r="C446" s="3"/>
      <c r="D446" s="14"/>
      <c r="E446" s="14"/>
      <c r="F446" s="14"/>
      <c r="G446" s="13"/>
      <c r="H446" s="14"/>
      <c r="I446" s="6"/>
      <c r="J446" s="3"/>
      <c r="K446" s="21"/>
      <c r="L446" s="3"/>
    </row>
    <row r="447" spans="1:12" x14ac:dyDescent="0.25">
      <c r="A447" s="3"/>
      <c r="B447" s="6"/>
      <c r="C447" s="3"/>
      <c r="D447" s="14"/>
      <c r="E447" s="14"/>
      <c r="F447" s="14"/>
      <c r="G447" s="13"/>
      <c r="H447" s="14"/>
      <c r="I447" s="6"/>
      <c r="J447" s="3"/>
      <c r="K447" s="21"/>
      <c r="L447" s="3"/>
    </row>
    <row r="448" spans="1:12" x14ac:dyDescent="0.25">
      <c r="A448" s="3"/>
      <c r="B448" s="6"/>
      <c r="C448" s="3"/>
      <c r="D448" s="14"/>
      <c r="E448" s="14"/>
      <c r="F448" s="14"/>
      <c r="G448" s="13"/>
      <c r="H448" s="14"/>
      <c r="I448" s="6"/>
      <c r="J448" s="3"/>
      <c r="K448" s="21"/>
      <c r="L448" s="3"/>
    </row>
    <row r="449" spans="1:12" x14ac:dyDescent="0.25">
      <c r="A449" s="3"/>
      <c r="B449" s="6"/>
      <c r="C449" s="3"/>
      <c r="D449" s="14"/>
      <c r="E449" s="14"/>
      <c r="F449" s="14"/>
      <c r="G449" s="13"/>
      <c r="H449" s="14"/>
      <c r="I449" s="6"/>
      <c r="J449" s="3"/>
      <c r="K449" s="21"/>
      <c r="L449" s="3"/>
    </row>
    <row r="450" spans="1:12" x14ac:dyDescent="0.25">
      <c r="A450" s="3"/>
      <c r="B450" s="6"/>
      <c r="C450" s="3"/>
      <c r="D450" s="14"/>
      <c r="E450" s="14"/>
      <c r="F450" s="14"/>
      <c r="G450" s="13"/>
      <c r="H450" s="14"/>
      <c r="I450" s="6"/>
      <c r="J450" s="3"/>
      <c r="K450" s="21"/>
      <c r="L450" s="3"/>
    </row>
    <row r="451" spans="1:12" x14ac:dyDescent="0.25">
      <c r="A451" s="3"/>
      <c r="B451" s="6"/>
      <c r="C451" s="3"/>
      <c r="D451" s="14"/>
      <c r="E451" s="14"/>
      <c r="F451" s="14"/>
      <c r="G451" s="13"/>
      <c r="H451" s="14"/>
      <c r="I451" s="6"/>
      <c r="J451" s="3"/>
      <c r="K451" s="21"/>
      <c r="L451" s="3"/>
    </row>
    <row r="452" spans="1:12" x14ac:dyDescent="0.25">
      <c r="A452" s="3"/>
      <c r="B452" s="6"/>
      <c r="C452" s="3"/>
      <c r="D452" s="14"/>
      <c r="E452" s="14"/>
      <c r="F452" s="14"/>
      <c r="G452" s="13"/>
      <c r="H452" s="14"/>
      <c r="I452" s="6"/>
      <c r="J452" s="3"/>
      <c r="K452" s="21"/>
      <c r="L452" s="3"/>
    </row>
    <row r="453" spans="1:12" x14ac:dyDescent="0.25">
      <c r="A453" s="3"/>
      <c r="B453" s="6"/>
      <c r="C453" s="3"/>
      <c r="D453" s="14"/>
      <c r="E453" s="14"/>
      <c r="F453" s="14"/>
      <c r="G453" s="13"/>
      <c r="H453" s="14"/>
      <c r="I453" s="6"/>
      <c r="J453" s="3"/>
      <c r="K453" s="21"/>
      <c r="L453" s="3"/>
    </row>
    <row r="454" spans="1:12" x14ac:dyDescent="0.25">
      <c r="A454" s="3"/>
      <c r="B454" s="6"/>
      <c r="C454" s="3"/>
      <c r="D454" s="14"/>
      <c r="E454" s="14"/>
      <c r="F454" s="14"/>
      <c r="G454" s="13"/>
      <c r="H454" s="14"/>
      <c r="I454" s="6"/>
      <c r="J454" s="3"/>
      <c r="K454" s="21"/>
      <c r="L454" s="3"/>
    </row>
    <row r="455" spans="1:12" x14ac:dyDescent="0.25">
      <c r="A455" s="3"/>
      <c r="B455" s="6"/>
      <c r="C455" s="3"/>
      <c r="D455" s="14"/>
      <c r="E455" s="14"/>
      <c r="F455" s="14"/>
      <c r="G455" s="13"/>
      <c r="H455" s="14"/>
      <c r="I455" s="6"/>
      <c r="J455" s="3"/>
      <c r="K455" s="21"/>
      <c r="L455" s="3"/>
    </row>
    <row r="456" spans="1:12" x14ac:dyDescent="0.25">
      <c r="A456" s="3"/>
      <c r="B456" s="6"/>
      <c r="C456" s="3"/>
      <c r="D456" s="14"/>
      <c r="E456" s="14"/>
      <c r="F456" s="14"/>
      <c r="G456" s="13"/>
      <c r="H456" s="14"/>
      <c r="I456" s="6"/>
      <c r="J456" s="3"/>
      <c r="K456" s="21"/>
      <c r="L456" s="3"/>
    </row>
    <row r="457" spans="1:12" x14ac:dyDescent="0.25">
      <c r="A457" s="3" t="str">
        <f t="shared" si="14"/>
        <v/>
      </c>
      <c r="B457" s="6"/>
      <c r="C457" s="3"/>
      <c r="D457" s="14"/>
      <c r="E457" s="14"/>
      <c r="F457" s="14"/>
      <c r="G457" s="13"/>
      <c r="H457" s="14"/>
      <c r="I457" s="6"/>
      <c r="J457" s="3"/>
      <c r="K457" s="21"/>
      <c r="L457" s="3"/>
    </row>
    <row r="458" spans="1:12" x14ac:dyDescent="0.25">
      <c r="A458" s="3" t="str">
        <f t="shared" si="14"/>
        <v/>
      </c>
      <c r="B458" s="6"/>
      <c r="C458" s="3"/>
      <c r="D458" s="14"/>
      <c r="E458" s="14"/>
      <c r="F458" s="14"/>
      <c r="G458" s="13"/>
      <c r="H458" s="14"/>
      <c r="I458" s="6"/>
      <c r="J458" s="3"/>
      <c r="K458" s="21"/>
      <c r="L458" s="3"/>
    </row>
    <row r="461" spans="1:12" x14ac:dyDescent="0.25">
      <c r="K461" s="27"/>
    </row>
    <row r="468" s="1" customFormat="1" x14ac:dyDescent="0.25"/>
  </sheetData>
  <autoFilter ref="A12:L466" xr:uid="{9DD9770B-B42B-477C-9536-79E8486803A2}"/>
  <phoneticPr fontId="1" type="noConversion"/>
  <pageMargins left="0" right="0" top="0.74803149606299213" bottom="0.74803149606299213" header="0.31496062992125984" footer="0.31496062992125984"/>
  <pageSetup paperSize="9" scale="4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650A-5D93-4564-9BA6-587532BDA5D2}">
  <dimension ref="A12:M420"/>
  <sheetViews>
    <sheetView topLeftCell="C361" zoomScale="60" zoomScaleNormal="60" workbookViewId="0">
      <selection activeCell="J370" sqref="J370"/>
    </sheetView>
  </sheetViews>
  <sheetFormatPr baseColWidth="10" defaultRowHeight="15" x14ac:dyDescent="0.25"/>
  <cols>
    <col min="1" max="1" width="43.42578125" bestFit="1" customWidth="1"/>
    <col min="2" max="2" width="20.42578125" customWidth="1"/>
    <col min="3" max="3" width="13.42578125" style="1" bestFit="1" customWidth="1"/>
    <col min="6" max="6" width="17.42578125" customWidth="1"/>
    <col min="7" max="7" width="23.28515625" style="4" customWidth="1"/>
    <col min="8" max="8" width="36.85546875" bestFit="1" customWidth="1"/>
    <col min="10" max="10" width="153.85546875" customWidth="1"/>
    <col min="12" max="12" width="12" bestFit="1" customWidth="1"/>
  </cols>
  <sheetData>
    <row r="12" spans="1:13" x14ac:dyDescent="0.25">
      <c r="A12" s="11" t="str">
        <f>+EDITABLE!$C$12</f>
        <v>PRODUCTO</v>
      </c>
      <c r="B12" s="11" t="str">
        <f>+EDITABLE!$A$12</f>
        <v>CODIGO</v>
      </c>
      <c r="C12" s="11" t="str">
        <f>+EDITABLE!$B$12</f>
        <v>CANTIDAD</v>
      </c>
      <c r="D12" s="11" t="str">
        <f>+EDITABLE!$D$12</f>
        <v>COLOR</v>
      </c>
      <c r="E12" s="11" t="str">
        <f>+EDITABLE!$E$12</f>
        <v>MARCA</v>
      </c>
      <c r="F12" s="11" t="str">
        <f>+EDITABLE!$F$12</f>
        <v>MODELO</v>
      </c>
      <c r="G12" s="12" t="str">
        <f>+EDITABLE!$G$12</f>
        <v>SERIE</v>
      </c>
      <c r="H12" s="11" t="str">
        <f>+EDITABLE!$H$12</f>
        <v>UBICACIÓN</v>
      </c>
      <c r="I12" s="11" t="str">
        <f>+EDITABLE!$I$12</f>
        <v>ESTADO</v>
      </c>
      <c r="J12" s="11" t="str">
        <f>+EDITABLE!$J$12</f>
        <v>CARACTERISTICAS</v>
      </c>
      <c r="K12" s="11" t="str">
        <f>+EDITABLE!$K$12</f>
        <v>COSTO</v>
      </c>
      <c r="L12" s="25" t="s">
        <v>584</v>
      </c>
    </row>
    <row r="13" spans="1:13" x14ac:dyDescent="0.25">
      <c r="A13" s="3" t="str">
        <f>CONCATENATE(+EDITABLE!C13," ",H13)</f>
        <v>CPU AULA-C1</v>
      </c>
      <c r="B13" s="3" t="str">
        <f>+EDITABLE!A13</f>
        <v>CPUAULA-C1</v>
      </c>
      <c r="C13" s="6">
        <f>+EDITABLE!B13</f>
        <v>1</v>
      </c>
      <c r="D13" s="3" t="str">
        <f>+EDITABLE!D13</f>
        <v>NEGRO</v>
      </c>
      <c r="E13" s="3" t="str">
        <f>+EDITABLE!E13</f>
        <v>INS</v>
      </c>
      <c r="F13" s="3" t="str">
        <f>+EDITABLE!F13</f>
        <v>GENERICO</v>
      </c>
      <c r="G13" s="5">
        <f>+EDITABLE!G13</f>
        <v>91225062019</v>
      </c>
      <c r="H13" s="3" t="str">
        <f>+EDITABLE!H13</f>
        <v>AULA-C1</v>
      </c>
      <c r="I13" s="3" t="str">
        <f>+EDITABLE!I13</f>
        <v>BUENO</v>
      </c>
      <c r="J13" s="3" t="str">
        <f>+EDITABLE!J13</f>
        <v>WINDOWS 8.1 ENTERPRISE, PROCESADOR: INTEL ® CORE TM i3-9100F CPU, 360 GHZ, RAM 4 GB, 64 BITS, INTERNET ALAMBRICO</v>
      </c>
      <c r="K13" s="2">
        <f>+EDITABLE!K13</f>
        <v>250</v>
      </c>
      <c r="L13" s="24">
        <f>+EDITABLE!L13</f>
        <v>45288</v>
      </c>
      <c r="M13">
        <v>1</v>
      </c>
    </row>
    <row r="14" spans="1:13" x14ac:dyDescent="0.25">
      <c r="A14" s="3" t="str">
        <f>CONCATENATE(+EDITABLE!C14," ",H14)</f>
        <v>MONITOR AULA-C1</v>
      </c>
      <c r="B14" s="3" t="str">
        <f>+EDITABLE!A14</f>
        <v>MONIAULA-C1</v>
      </c>
      <c r="C14" s="6">
        <f>+EDITABLE!B14</f>
        <v>1</v>
      </c>
      <c r="D14" s="3" t="str">
        <f>+EDITABLE!D14</f>
        <v>NEGRO</v>
      </c>
      <c r="E14" s="3" t="str">
        <f>+EDITABLE!E14</f>
        <v>LG</v>
      </c>
      <c r="F14" s="3" t="str">
        <f>+EDITABLE!F14</f>
        <v>20MK400H-B</v>
      </c>
      <c r="G14" s="5" t="str">
        <f>+EDITABLE!G14</f>
        <v>911NTHM1T121</v>
      </c>
      <c r="H14" s="3" t="str">
        <f>+EDITABLE!H14</f>
        <v>AULA-C1</v>
      </c>
      <c r="I14" s="3" t="str">
        <f>+EDITABLE!I14</f>
        <v>BUENO</v>
      </c>
      <c r="J14" s="3" t="str">
        <f>+EDITABLE!J14</f>
        <v>19,5 PULGADAS, HDMI</v>
      </c>
      <c r="K14" s="2">
        <f>+EDITABLE!K14</f>
        <v>60</v>
      </c>
      <c r="L14" s="24">
        <f>+EDITABLE!L14</f>
        <v>45288</v>
      </c>
    </row>
    <row r="15" spans="1:13" x14ac:dyDescent="0.25">
      <c r="A15" s="3" t="str">
        <f>CONCATENATE(+EDITABLE!C15," ",H15)</f>
        <v>MOUSE AULA-C1</v>
      </c>
      <c r="B15" s="3" t="str">
        <f>+EDITABLE!A15</f>
        <v>MOUSAULA-C1</v>
      </c>
      <c r="C15" s="6">
        <f>+EDITABLE!B15</f>
        <v>1</v>
      </c>
      <c r="D15" s="3" t="str">
        <f>+EDITABLE!D15</f>
        <v>NEGRO</v>
      </c>
      <c r="E15" s="3" t="str">
        <f>+EDITABLE!E15</f>
        <v>GENERICO</v>
      </c>
      <c r="F15" s="3" t="str">
        <f>+EDITABLE!F15</f>
        <v>5V-100MA</v>
      </c>
      <c r="G15" s="5" t="str">
        <f>+EDITABLE!G15</f>
        <v>S/S</v>
      </c>
      <c r="H15" s="3" t="str">
        <f>+EDITABLE!H15</f>
        <v>AULA-C1</v>
      </c>
      <c r="I15" s="3" t="str">
        <f>+EDITABLE!I15</f>
        <v>BUENO</v>
      </c>
      <c r="J15" s="3" t="str">
        <f>+EDITABLE!J15</f>
        <v>ALAMBRICO, LED</v>
      </c>
      <c r="K15" s="2">
        <f>+EDITABLE!K15</f>
        <v>5</v>
      </c>
      <c r="L15" s="24">
        <f>+EDITABLE!L15</f>
        <v>45288</v>
      </c>
    </row>
    <row r="16" spans="1:13" x14ac:dyDescent="0.25">
      <c r="A16" s="3" t="str">
        <f>CONCATENATE(+EDITABLE!C16," ",H16)</f>
        <v>TECLADO AULA-C1</v>
      </c>
      <c r="B16" s="3" t="str">
        <f>+EDITABLE!A16</f>
        <v>TECLAULA-C1</v>
      </c>
      <c r="C16" s="6">
        <f>+EDITABLE!B16</f>
        <v>1</v>
      </c>
      <c r="D16" s="3" t="str">
        <f>+EDITABLE!D16</f>
        <v>NEGRO</v>
      </c>
      <c r="E16" s="3" t="str">
        <f>+EDITABLE!E16</f>
        <v>INS</v>
      </c>
      <c r="F16" s="3" t="str">
        <f>+EDITABLE!F16</f>
        <v>S/M</v>
      </c>
      <c r="G16" s="5" t="str">
        <f>+EDITABLE!G16</f>
        <v>S/S</v>
      </c>
      <c r="H16" s="3" t="str">
        <f>+EDITABLE!H16</f>
        <v>AULA-C1</v>
      </c>
      <c r="I16" s="3" t="str">
        <f>+EDITABLE!I16</f>
        <v>BUENO</v>
      </c>
      <c r="J16" s="3" t="str">
        <f>+EDITABLE!J16</f>
        <v>ALAMBRICO, HERGONÓMICO, CONECTOR USB, CON TECLADO NUMÉRICO</v>
      </c>
      <c r="K16" s="2">
        <f>+EDITABLE!K16</f>
        <v>16.7</v>
      </c>
      <c r="L16" s="24">
        <f>+EDITABLE!L16</f>
        <v>45288</v>
      </c>
    </row>
    <row r="17" spans="1:13" x14ac:dyDescent="0.25">
      <c r="A17" s="3" t="str">
        <f>CONCATENATE(+EDITABLE!C17," ",H17)</f>
        <v>PROYECTOR AULA-C1</v>
      </c>
      <c r="B17" s="3" t="str">
        <f>+EDITABLE!A17</f>
        <v>PROYAULA-C1</v>
      </c>
      <c r="C17" s="6">
        <f>+EDITABLE!B17</f>
        <v>1</v>
      </c>
      <c r="D17" s="3" t="str">
        <f>+EDITABLE!D17</f>
        <v>NEGRO</v>
      </c>
      <c r="E17" s="3" t="str">
        <f>+EDITABLE!E17</f>
        <v>EPSON</v>
      </c>
      <c r="F17" s="3" t="str">
        <f>+EDITABLE!F17</f>
        <v>POWER LITE S12+</v>
      </c>
      <c r="G17" s="5" t="str">
        <f>+EDITABLE!G17</f>
        <v>PSPK3401963</v>
      </c>
      <c r="H17" s="3" t="str">
        <f>+EDITABLE!H17</f>
        <v>AULA-C1</v>
      </c>
      <c r="I17" s="3" t="str">
        <f>+EDITABLE!I17</f>
        <v>BUENO</v>
      </c>
      <c r="J17" s="3" t="str">
        <f>+EDITABLE!J17</f>
        <v>CON PEDESTAL, CABLE VGA DE 15 m. Y CABLE DE ENERGIA</v>
      </c>
      <c r="K17" s="2">
        <f>+EDITABLE!K17</f>
        <v>400</v>
      </c>
      <c r="L17" s="24">
        <f>+EDITABLE!L17</f>
        <v>45288</v>
      </c>
    </row>
    <row r="18" spans="1:13" x14ac:dyDescent="0.25">
      <c r="A18" s="3" t="str">
        <f>CONCATENATE(+EDITABLE!C18," ",H18)</f>
        <v>PARLANTES AULA-C1</v>
      </c>
      <c r="B18" s="3" t="str">
        <f>+EDITABLE!A18</f>
        <v>PARLAULA-C1</v>
      </c>
      <c r="C18" s="6">
        <f>+EDITABLE!B18</f>
        <v>1</v>
      </c>
      <c r="D18" s="3" t="str">
        <f>+EDITABLE!D18</f>
        <v>NEGRO</v>
      </c>
      <c r="E18" s="3" t="str">
        <f>+EDITABLE!E18</f>
        <v>KLIP EXTREME</v>
      </c>
      <c r="F18" s="3" t="str">
        <f>+EDITABLE!F18</f>
        <v>KSS-710</v>
      </c>
      <c r="G18" s="5" t="str">
        <f>+EDITABLE!G18</f>
        <v>13-11580</v>
      </c>
      <c r="H18" s="3" t="str">
        <f>+EDITABLE!H18</f>
        <v>AULA-C1</v>
      </c>
      <c r="I18" s="3" t="str">
        <f>+EDITABLE!I18</f>
        <v>BUENO</v>
      </c>
      <c r="J18" s="3" t="str">
        <f>+EDITABLE!J18</f>
        <v>CON SOPORTE AEREO, CABLE DE SONIO DE 20 m. Y CABLE DE ENERGIA, 1 BAJO Y 2 TWITERS</v>
      </c>
      <c r="K18" s="2">
        <f>+EDITABLE!K18</f>
        <v>103</v>
      </c>
      <c r="L18" s="24">
        <f>+EDITABLE!L18</f>
        <v>45288</v>
      </c>
    </row>
    <row r="19" spans="1:13" x14ac:dyDescent="0.25">
      <c r="A19" s="3" t="str">
        <f>CONCATENATE(+EDITABLE!C19," ",H19)</f>
        <v>CAMARA VIDEO VIGILANCIA AULA-C1</v>
      </c>
      <c r="B19" s="3" t="str">
        <f>+EDITABLE!A19</f>
        <v>CAMAAULA-C1</v>
      </c>
      <c r="C19" s="6">
        <f>+EDITABLE!B19</f>
        <v>1</v>
      </c>
      <c r="D19" s="3" t="str">
        <f>+EDITABLE!D19</f>
        <v>BLANCO</v>
      </c>
      <c r="E19" s="3" t="str">
        <f>+EDITABLE!E19</f>
        <v>HIKVISION</v>
      </c>
      <c r="F19" s="3" t="str">
        <f>+EDITABLE!F19</f>
        <v>S/M</v>
      </c>
      <c r="G19" s="5" t="str">
        <f>+EDITABLE!G19</f>
        <v>S/S</v>
      </c>
      <c r="H19" s="3" t="str">
        <f>+EDITABLE!H19</f>
        <v>AULA-C1</v>
      </c>
      <c r="I19" s="3" t="str">
        <f>+EDITABLE!I19</f>
        <v>BUENO</v>
      </c>
      <c r="J19" s="3" t="str">
        <f>+EDITABLE!J19</f>
        <v>CONECTADA AL DVR Y VISION EN MOVIL Y CUARTO DE RED</v>
      </c>
      <c r="K19" s="2">
        <f>+EDITABLE!K19</f>
        <v>25</v>
      </c>
      <c r="L19" s="24">
        <f>+EDITABLE!L19</f>
        <v>44841</v>
      </c>
    </row>
    <row r="20" spans="1:13" x14ac:dyDescent="0.25">
      <c r="A20" s="3" t="str">
        <f>CONCATENATE(+EDITABLE!C20," ",H20)</f>
        <v>SENSOR DE ALARMA AULA-C1</v>
      </c>
      <c r="B20" s="3" t="str">
        <f>+EDITABLE!A20</f>
        <v>SENSAULA-C1</v>
      </c>
      <c r="C20" s="6">
        <f>+EDITABLE!B20</f>
        <v>1</v>
      </c>
      <c r="D20" s="3" t="str">
        <f>+EDITABLE!D20</f>
        <v>BLANCO</v>
      </c>
      <c r="E20" s="3" t="str">
        <f>+EDITABLE!E20</f>
        <v>DSC</v>
      </c>
      <c r="F20" s="3" t="str">
        <f>+EDITABLE!F20</f>
        <v>LC-100PI</v>
      </c>
      <c r="G20" s="5">
        <f>+EDITABLE!G20</f>
        <v>88030080</v>
      </c>
      <c r="H20" s="3" t="str">
        <f>+EDITABLE!H20</f>
        <v>AULA-C1</v>
      </c>
      <c r="I20" s="3" t="str">
        <f>+EDITABLE!I20</f>
        <v>BUENO</v>
      </c>
      <c r="J20" s="3" t="str">
        <f>+EDITABLE!J20</f>
        <v>CONECTADA AL SISTEMA DE ALARMAS</v>
      </c>
      <c r="K20" s="2">
        <f>+EDITABLE!K20</f>
        <v>20</v>
      </c>
      <c r="L20" s="24">
        <f>+EDITABLE!L20</f>
        <v>44841</v>
      </c>
    </row>
    <row r="21" spans="1:13" x14ac:dyDescent="0.25">
      <c r="A21" s="3" t="str">
        <f>CONCATENATE(+EDITABLE!C21," ",H21)</f>
        <v xml:space="preserve"> 0</v>
      </c>
      <c r="B21" s="3" t="str">
        <f>+EDITABLE!A21</f>
        <v/>
      </c>
      <c r="C21" s="6">
        <f>+EDITABLE!B21</f>
        <v>0</v>
      </c>
      <c r="D21" s="3">
        <f>+EDITABLE!D21</f>
        <v>0</v>
      </c>
      <c r="E21" s="3">
        <f>+EDITABLE!E21</f>
        <v>0</v>
      </c>
      <c r="F21" s="3">
        <f>+EDITABLE!F21</f>
        <v>0</v>
      </c>
      <c r="G21" s="5">
        <f>+EDITABLE!G21</f>
        <v>0</v>
      </c>
      <c r="H21" s="3">
        <f>+EDITABLE!H21</f>
        <v>0</v>
      </c>
      <c r="I21" s="3">
        <f>+EDITABLE!I21</f>
        <v>0</v>
      </c>
      <c r="J21" s="3">
        <f>+EDITABLE!J21</f>
        <v>0</v>
      </c>
      <c r="K21" s="2">
        <f>+EDITABLE!K21</f>
        <v>0</v>
      </c>
      <c r="L21" s="24">
        <f>+EDITABLE!L21</f>
        <v>0</v>
      </c>
    </row>
    <row r="22" spans="1:13" x14ac:dyDescent="0.25">
      <c r="A22" s="3" t="str">
        <f>CONCATENATE(+EDITABLE!C22," ",H22)</f>
        <v xml:space="preserve"> 0</v>
      </c>
      <c r="B22" s="3" t="str">
        <f>+EDITABLE!A22</f>
        <v/>
      </c>
      <c r="C22" s="6">
        <f>+EDITABLE!B22</f>
        <v>0</v>
      </c>
      <c r="D22" s="3">
        <f>+EDITABLE!D22</f>
        <v>0</v>
      </c>
      <c r="E22" s="3">
        <f>+EDITABLE!E22</f>
        <v>0</v>
      </c>
      <c r="F22" s="3">
        <f>+EDITABLE!F22</f>
        <v>0</v>
      </c>
      <c r="G22" s="5">
        <f>+EDITABLE!G22</f>
        <v>0</v>
      </c>
      <c r="H22" s="3">
        <f>+EDITABLE!H22</f>
        <v>0</v>
      </c>
      <c r="I22" s="3">
        <f>+EDITABLE!I22</f>
        <v>0</v>
      </c>
      <c r="J22" s="3">
        <f>+EDITABLE!J22</f>
        <v>0</v>
      </c>
      <c r="K22" s="2">
        <f>+EDITABLE!K22</f>
        <v>0</v>
      </c>
      <c r="L22" s="24">
        <f>+EDITABLE!L22</f>
        <v>0</v>
      </c>
    </row>
    <row r="23" spans="1:13" x14ac:dyDescent="0.25">
      <c r="A23" s="3" t="str">
        <f>CONCATENATE(+EDITABLE!C23," ",H23)</f>
        <v xml:space="preserve"> 0</v>
      </c>
      <c r="B23" s="3" t="str">
        <f>+EDITABLE!A23</f>
        <v/>
      </c>
      <c r="C23" s="6">
        <f>+EDITABLE!B23</f>
        <v>0</v>
      </c>
      <c r="D23" s="3">
        <f>+EDITABLE!D23</f>
        <v>0</v>
      </c>
      <c r="E23" s="3">
        <f>+EDITABLE!E23</f>
        <v>0</v>
      </c>
      <c r="F23" s="3">
        <f>+EDITABLE!F23</f>
        <v>0</v>
      </c>
      <c r="G23" s="5">
        <f>+EDITABLE!G23</f>
        <v>0</v>
      </c>
      <c r="H23" s="3">
        <f>+EDITABLE!H23</f>
        <v>0</v>
      </c>
      <c r="I23" s="3">
        <f>+EDITABLE!I23</f>
        <v>0</v>
      </c>
      <c r="J23" s="3">
        <f>+EDITABLE!J23</f>
        <v>0</v>
      </c>
      <c r="K23" s="2">
        <f>+EDITABLE!K23</f>
        <v>0</v>
      </c>
      <c r="L23" s="24">
        <f>+EDITABLE!L23</f>
        <v>0</v>
      </c>
    </row>
    <row r="24" spans="1:13" x14ac:dyDescent="0.25">
      <c r="A24" s="3" t="str">
        <f>CONCATENATE(+EDITABLE!C25," ",H24)</f>
        <v>CPU AULA-C2</v>
      </c>
      <c r="B24" s="3" t="str">
        <f>+EDITABLE!A25</f>
        <v>CPUAULA-C2</v>
      </c>
      <c r="C24" s="6">
        <f>+EDITABLE!B25</f>
        <v>1</v>
      </c>
      <c r="D24" s="3" t="str">
        <f>+EDITABLE!D25</f>
        <v>NEGRO</v>
      </c>
      <c r="E24" s="3" t="str">
        <f>+EDITABLE!E25</f>
        <v>INS</v>
      </c>
      <c r="F24" s="3" t="str">
        <f>+EDITABLE!F25</f>
        <v>GENERICO</v>
      </c>
      <c r="G24" s="5">
        <f>+EDITABLE!G25</f>
        <v>91225062019</v>
      </c>
      <c r="H24" s="3" t="str">
        <f>+EDITABLE!H25</f>
        <v>AULA-C2</v>
      </c>
      <c r="I24" s="3" t="str">
        <f>+EDITABLE!I25</f>
        <v>BUENO</v>
      </c>
      <c r="J24" s="3" t="str">
        <f>+EDITABLE!J25</f>
        <v>WINDOWS 8.1 ENTERPRISE, PROCESADOR: INTEL ® CORE TM i3-9100F CPU, 360 GHZ, RAM 4 GB, 64 BITS, INTERNET ALAMBRICO</v>
      </c>
      <c r="K24" s="2">
        <f>+EDITABLE!K25</f>
        <v>250</v>
      </c>
      <c r="L24" s="24">
        <f>+EDITABLE!L25</f>
        <v>45288</v>
      </c>
      <c r="M24">
        <v>2</v>
      </c>
    </row>
    <row r="25" spans="1:13" x14ac:dyDescent="0.25">
      <c r="A25" s="3" t="str">
        <f>CONCATENATE(+EDITABLE!C26," ",H25)</f>
        <v>MONITOR AULA-C2</v>
      </c>
      <c r="B25" s="3" t="str">
        <f>+EDITABLE!A26</f>
        <v>MONIAULA-C2</v>
      </c>
      <c r="C25" s="6">
        <f>+EDITABLE!B26</f>
        <v>1</v>
      </c>
      <c r="D25" s="3" t="str">
        <f>+EDITABLE!D26</f>
        <v>NEGRO</v>
      </c>
      <c r="E25" s="3" t="str">
        <f>+EDITABLE!E26</f>
        <v>LG</v>
      </c>
      <c r="F25" s="3" t="str">
        <f>+EDITABLE!F26</f>
        <v>20MK400H-B</v>
      </c>
      <c r="G25" s="5" t="str">
        <f>+EDITABLE!G26</f>
        <v>911NTNH1S119</v>
      </c>
      <c r="H25" s="3" t="str">
        <f>+EDITABLE!H26</f>
        <v>AULA-C2</v>
      </c>
      <c r="I25" s="3" t="str">
        <f>+EDITABLE!I26</f>
        <v>BUENO</v>
      </c>
      <c r="J25" s="3" t="str">
        <f>+EDITABLE!J26</f>
        <v>19,5 PULGADAS, HDMI</v>
      </c>
      <c r="K25" s="2">
        <f>+EDITABLE!K26</f>
        <v>60</v>
      </c>
      <c r="L25" s="24">
        <f>+EDITABLE!L26</f>
        <v>45288</v>
      </c>
    </row>
    <row r="26" spans="1:13" x14ac:dyDescent="0.25">
      <c r="A26" s="3" t="str">
        <f>CONCATENATE(+EDITABLE!C27," ",H26)</f>
        <v>MOUSE AULA-C2</v>
      </c>
      <c r="B26" s="3" t="str">
        <f>+EDITABLE!A27</f>
        <v>MOUSAULA-C2</v>
      </c>
      <c r="C26" s="6">
        <f>+EDITABLE!B27</f>
        <v>1</v>
      </c>
      <c r="D26" s="3" t="str">
        <f>+EDITABLE!D27</f>
        <v>NEGRO</v>
      </c>
      <c r="E26" s="3" t="str">
        <f>+EDITABLE!E27</f>
        <v>GENIUS</v>
      </c>
      <c r="F26" s="3" t="str">
        <f>+EDITABLE!F27</f>
        <v>GM-04011P</v>
      </c>
      <c r="G26" s="5" t="str">
        <f>+EDITABLE!G27</f>
        <v>124430707394</v>
      </c>
      <c r="H26" s="3" t="str">
        <f>+EDITABLE!H27</f>
        <v>AULA-C2</v>
      </c>
      <c r="I26" s="3" t="str">
        <f>+EDITABLE!I27</f>
        <v>BUENO</v>
      </c>
      <c r="J26" s="3" t="str">
        <f>+EDITABLE!J27</f>
        <v>ALAMBRICO, LED, DISEÑO ERGONÓMICO</v>
      </c>
      <c r="K26" s="2">
        <f>+EDITABLE!K27</f>
        <v>6</v>
      </c>
      <c r="L26" s="24">
        <f>+EDITABLE!L27</f>
        <v>45288</v>
      </c>
    </row>
    <row r="27" spans="1:13" x14ac:dyDescent="0.25">
      <c r="A27" s="3" t="str">
        <f>CONCATENATE(+EDITABLE!C28," ",H27)</f>
        <v>TECLADO AULA-C2</v>
      </c>
      <c r="B27" s="3" t="str">
        <f>+EDITABLE!A28</f>
        <v>TECLAULA-C2</v>
      </c>
      <c r="C27" s="6">
        <f>+EDITABLE!B28</f>
        <v>1</v>
      </c>
      <c r="D27" s="3" t="str">
        <f>+EDITABLE!D28</f>
        <v>NEGRO</v>
      </c>
      <c r="E27" s="3" t="str">
        <f>+EDITABLE!E28</f>
        <v>INS</v>
      </c>
      <c r="F27" s="3" t="str">
        <f>+EDITABLE!F28</f>
        <v>S/M</v>
      </c>
      <c r="G27" s="5" t="str">
        <f>+EDITABLE!G28</f>
        <v>S/S</v>
      </c>
      <c r="H27" s="3" t="str">
        <f>+EDITABLE!H28</f>
        <v>AULA-C2</v>
      </c>
      <c r="I27" s="3" t="str">
        <f>+EDITABLE!I28</f>
        <v>BUENO</v>
      </c>
      <c r="J27" s="3" t="str">
        <f>+EDITABLE!J28</f>
        <v>ALAMBRICO, HERGONÓMICO, CONECTOR USB, CON TECLADO NUMÉRICO</v>
      </c>
      <c r="K27" s="2">
        <f>+EDITABLE!K28</f>
        <v>16.7</v>
      </c>
      <c r="L27" s="24">
        <f>+EDITABLE!L28</f>
        <v>45288</v>
      </c>
    </row>
    <row r="28" spans="1:13" x14ac:dyDescent="0.25">
      <c r="A28" s="3" t="str">
        <f>CONCATENATE(+EDITABLE!C29," ",H28)</f>
        <v>PROYECTOR AULA-C2</v>
      </c>
      <c r="B28" s="3" t="str">
        <f>+EDITABLE!A29</f>
        <v>PROYAULA-C2</v>
      </c>
      <c r="C28" s="6">
        <f>+EDITABLE!B29</f>
        <v>1</v>
      </c>
      <c r="D28" s="3" t="str">
        <f>+EDITABLE!D29</f>
        <v>NEGRO</v>
      </c>
      <c r="E28" s="3" t="str">
        <f>+EDITABLE!E29</f>
        <v>EPSON</v>
      </c>
      <c r="F28" s="3" t="str">
        <f>+EDITABLE!F29</f>
        <v>POWER LITE S12+</v>
      </c>
      <c r="G28" s="5" t="str">
        <f>+EDITABLE!G29</f>
        <v>PSPK3401919</v>
      </c>
      <c r="H28" s="3" t="str">
        <f>+EDITABLE!H29</f>
        <v>AULA-C2</v>
      </c>
      <c r="I28" s="3" t="str">
        <f>+EDITABLE!I29</f>
        <v>BUENO</v>
      </c>
      <c r="J28" s="3" t="str">
        <f>+EDITABLE!J29</f>
        <v>CON PEDESTAL, CABLE VGA DE 15 m. Y CABLE DE ENERGIA</v>
      </c>
      <c r="K28" s="2">
        <f>+EDITABLE!K29</f>
        <v>400</v>
      </c>
      <c r="L28" s="24">
        <f>+EDITABLE!L29</f>
        <v>45288</v>
      </c>
    </row>
    <row r="29" spans="1:13" x14ac:dyDescent="0.25">
      <c r="A29" s="3" t="str">
        <f>CONCATENATE(+EDITABLE!C30," ",H29)</f>
        <v>PARLANTES AULA-C2</v>
      </c>
      <c r="B29" s="3" t="str">
        <f>+EDITABLE!A30</f>
        <v>PARLAULA-C2</v>
      </c>
      <c r="C29" s="6">
        <f>+EDITABLE!B30</f>
        <v>1</v>
      </c>
      <c r="D29" s="3" t="str">
        <f>+EDITABLE!D30</f>
        <v>NEGRO</v>
      </c>
      <c r="E29" s="3" t="str">
        <f>+EDITABLE!E30</f>
        <v>KLIP EXTREME</v>
      </c>
      <c r="F29" s="3" t="str">
        <f>+EDITABLE!F30</f>
        <v>KSS-710</v>
      </c>
      <c r="G29" s="5" t="str">
        <f>+EDITABLE!G30</f>
        <v>13-1158005</v>
      </c>
      <c r="H29" s="3" t="str">
        <f>+EDITABLE!H30</f>
        <v>AULA-C2</v>
      </c>
      <c r="I29" s="3" t="str">
        <f>+EDITABLE!I30</f>
        <v>BUENO</v>
      </c>
      <c r="J29" s="3" t="str">
        <f>+EDITABLE!J30</f>
        <v>CON SOPORTE AEREO, CABLE DE SONIO DE 20 m. Y CABLE DE ENERGIA, 1 BAJO Y 2 TWITERS</v>
      </c>
      <c r="K29" s="2">
        <f>+EDITABLE!K30</f>
        <v>103</v>
      </c>
      <c r="L29" s="24">
        <f>+EDITABLE!L30</f>
        <v>45288</v>
      </c>
    </row>
    <row r="30" spans="1:13" x14ac:dyDescent="0.25">
      <c r="A30" s="3" t="str">
        <f>CONCATENATE(+EDITABLE!C31," ",H30)</f>
        <v>CAMARA VIDEO VIGILANCIA AULA-C2</v>
      </c>
      <c r="B30" s="3" t="str">
        <f>+EDITABLE!A31</f>
        <v>CAMAAULA-C2</v>
      </c>
      <c r="C30" s="6">
        <f>+EDITABLE!B31</f>
        <v>1</v>
      </c>
      <c r="D30" s="3" t="str">
        <f>+EDITABLE!D31</f>
        <v>BLANCO</v>
      </c>
      <c r="E30" s="3" t="str">
        <f>+EDITABLE!E31</f>
        <v>HIKVISION</v>
      </c>
      <c r="F30" s="3" t="str">
        <f>+EDITABLE!F31</f>
        <v>S/M</v>
      </c>
      <c r="G30" s="5" t="str">
        <f>+EDITABLE!G31</f>
        <v>S/S</v>
      </c>
      <c r="H30" s="3" t="str">
        <f>+EDITABLE!H31</f>
        <v>AULA-C2</v>
      </c>
      <c r="I30" s="3" t="str">
        <f>+EDITABLE!I31</f>
        <v>BUENO</v>
      </c>
      <c r="J30" s="3" t="str">
        <f>+EDITABLE!J31</f>
        <v>CONECTADA AL DVR Y VISION EN MOVIL Y CUARTO DE RED</v>
      </c>
      <c r="K30" s="2">
        <f>+EDITABLE!K31</f>
        <v>25</v>
      </c>
      <c r="L30" s="24">
        <f>+EDITABLE!L31</f>
        <v>44841</v>
      </c>
    </row>
    <row r="31" spans="1:13" x14ac:dyDescent="0.25">
      <c r="A31" s="3" t="str">
        <f>CONCATENATE(+EDITABLE!C32," ",H31)</f>
        <v>SENSOR DE ALARMA AULA-C2</v>
      </c>
      <c r="B31" s="3" t="str">
        <f>+EDITABLE!A32</f>
        <v>SENSAULA-C2</v>
      </c>
      <c r="C31" s="6">
        <f>+EDITABLE!B32</f>
        <v>1</v>
      </c>
      <c r="D31" s="3" t="str">
        <f>+EDITABLE!D32</f>
        <v>BLANCO</v>
      </c>
      <c r="E31" s="3" t="str">
        <f>+EDITABLE!E32</f>
        <v>DSC</v>
      </c>
      <c r="F31" s="3" t="str">
        <f>+EDITABLE!F32</f>
        <v>LC-100PI</v>
      </c>
      <c r="G31" s="5">
        <f>+EDITABLE!G32</f>
        <v>88030080</v>
      </c>
      <c r="H31" s="3" t="str">
        <f>+EDITABLE!H32</f>
        <v>AULA-C2</v>
      </c>
      <c r="I31" s="3" t="str">
        <f>+EDITABLE!I32</f>
        <v>BUENO</v>
      </c>
      <c r="J31" s="3" t="str">
        <f>+EDITABLE!J32</f>
        <v>CONECTADA AL SISTEMA DE ALARMAS</v>
      </c>
      <c r="K31" s="2">
        <f>+EDITABLE!K32</f>
        <v>20</v>
      </c>
      <c r="L31" s="24">
        <f>+EDITABLE!L32</f>
        <v>44841</v>
      </c>
    </row>
    <row r="32" spans="1:13" x14ac:dyDescent="0.25">
      <c r="A32" s="3" t="str">
        <f>CONCATENATE(+EDITABLE!C33," ",H32)</f>
        <v>SWITCH DE INTERNET AULA-C2</v>
      </c>
      <c r="B32" s="3" t="str">
        <f>+EDITABLE!A33</f>
        <v>SWITAULA-C2</v>
      </c>
      <c r="C32" s="6">
        <f>+EDITABLE!B33</f>
        <v>1</v>
      </c>
      <c r="D32" s="3" t="str">
        <f>+EDITABLE!D33</f>
        <v>AZUL</v>
      </c>
      <c r="E32" s="3" t="str">
        <f>+EDITABLE!E33</f>
        <v>T-PLINK</v>
      </c>
      <c r="F32" s="3" t="str">
        <f>+EDITABLE!F33</f>
        <v>TN-SG108</v>
      </c>
      <c r="G32" s="5" t="str">
        <f>+EDITABLE!G33</f>
        <v>22361E5003891</v>
      </c>
      <c r="H32" s="3" t="str">
        <f>+EDITABLE!H33</f>
        <v>AULA-C2</v>
      </c>
      <c r="I32" s="3" t="str">
        <f>+EDITABLE!I33</f>
        <v>BUENO</v>
      </c>
      <c r="J32" s="3" t="str">
        <f>+EDITABLE!J33</f>
        <v>DE 5 PUERTOS RJ45, TIPO DE COMUNICACIÓN STORE AND FORWARD</v>
      </c>
      <c r="K32" s="2">
        <f>+EDITABLE!K33</f>
        <v>22</v>
      </c>
      <c r="L32" s="24">
        <f>+EDITABLE!L33</f>
        <v>45288</v>
      </c>
    </row>
    <row r="33" spans="1:13" x14ac:dyDescent="0.25">
      <c r="A33" s="3" t="str">
        <f>CONCATENATE(+EDITABLE!C34," ",H33)</f>
        <v>REGULADOR DE VOLTAJE AULA-C2</v>
      </c>
      <c r="B33" s="3" t="str">
        <f>+EDITABLE!A34</f>
        <v>REGUAULA-C2</v>
      </c>
      <c r="C33" s="6">
        <f>+EDITABLE!B34</f>
        <v>1</v>
      </c>
      <c r="D33" s="3" t="str">
        <f>+EDITABLE!D34</f>
        <v>NEGRO</v>
      </c>
      <c r="E33" s="3" t="str">
        <f>+EDITABLE!E34</f>
        <v>INS</v>
      </c>
      <c r="F33" s="3" t="str">
        <f>+EDITABLE!F34</f>
        <v>AVR-INS2000VA</v>
      </c>
      <c r="G33" s="5" t="str">
        <f>+EDITABLE!G34</f>
        <v>19C04206300</v>
      </c>
      <c r="H33" s="3" t="str">
        <f>+EDITABLE!H34</f>
        <v>AULA-C2</v>
      </c>
      <c r="I33" s="3" t="str">
        <f>+EDITABLE!I34</f>
        <v>BUENO</v>
      </c>
      <c r="J33" s="3" t="str">
        <f>+EDITABLE!J34</f>
        <v>DE 8 TOMAS, 120V-60HZ, 2 PUERTOS RJ11 PARA TELÉFONO</v>
      </c>
      <c r="K33" s="2">
        <f>+EDITABLE!K34</f>
        <v>15</v>
      </c>
      <c r="L33" s="24">
        <f>+EDITABLE!L34</f>
        <v>45288</v>
      </c>
    </row>
    <row r="34" spans="1:13" x14ac:dyDescent="0.25">
      <c r="A34" s="3" t="str">
        <f>CONCATENATE(+EDITABLE!C35," ",H34)</f>
        <v xml:space="preserve"> 0</v>
      </c>
      <c r="B34" s="3" t="str">
        <f>+EDITABLE!A35</f>
        <v/>
      </c>
      <c r="C34" s="6">
        <f>+EDITABLE!B35</f>
        <v>0</v>
      </c>
      <c r="D34" s="3">
        <f>+EDITABLE!D35</f>
        <v>0</v>
      </c>
      <c r="E34" s="3">
        <f>+EDITABLE!E35</f>
        <v>0</v>
      </c>
      <c r="F34" s="3">
        <f>+EDITABLE!F35</f>
        <v>0</v>
      </c>
      <c r="G34" s="5">
        <f>+EDITABLE!G35</f>
        <v>0</v>
      </c>
      <c r="H34" s="3">
        <f>+EDITABLE!H35</f>
        <v>0</v>
      </c>
      <c r="I34" s="3">
        <f>+EDITABLE!I35</f>
        <v>0</v>
      </c>
      <c r="J34" s="3">
        <f>+EDITABLE!J35</f>
        <v>0</v>
      </c>
      <c r="K34" s="2">
        <f>+EDITABLE!K35</f>
        <v>0</v>
      </c>
      <c r="L34" s="24">
        <f>+EDITABLE!L35</f>
        <v>0</v>
      </c>
    </row>
    <row r="35" spans="1:13" x14ac:dyDescent="0.25">
      <c r="A35" s="3" t="str">
        <f>CONCATENATE(+EDITABLE!C36," ",H35)</f>
        <v xml:space="preserve"> 0</v>
      </c>
      <c r="B35" s="3" t="str">
        <f>+EDITABLE!A36</f>
        <v/>
      </c>
      <c r="C35" s="6">
        <f>+EDITABLE!B36</f>
        <v>0</v>
      </c>
      <c r="D35" s="3">
        <f>+EDITABLE!D36</f>
        <v>0</v>
      </c>
      <c r="E35" s="3">
        <f>+EDITABLE!E36</f>
        <v>0</v>
      </c>
      <c r="F35" s="3">
        <f>+EDITABLE!F36</f>
        <v>0</v>
      </c>
      <c r="G35" s="5">
        <f>+EDITABLE!G36</f>
        <v>0</v>
      </c>
      <c r="H35" s="3">
        <f>+EDITABLE!H36</f>
        <v>0</v>
      </c>
      <c r="I35" s="3">
        <f>+EDITABLE!I36</f>
        <v>0</v>
      </c>
      <c r="J35" s="3">
        <f>+EDITABLE!J36</f>
        <v>0</v>
      </c>
      <c r="K35" s="2">
        <f>+EDITABLE!K36</f>
        <v>0</v>
      </c>
      <c r="L35" s="24">
        <f>+EDITABLE!L36</f>
        <v>0</v>
      </c>
    </row>
    <row r="36" spans="1:13" x14ac:dyDescent="0.25">
      <c r="A36" s="3" t="str">
        <f>CONCATENATE(+EDITABLE!C37," ",H36)</f>
        <v xml:space="preserve"> 0</v>
      </c>
      <c r="B36" s="3" t="str">
        <f>+EDITABLE!A37</f>
        <v/>
      </c>
      <c r="C36" s="6">
        <f>+EDITABLE!B37</f>
        <v>0</v>
      </c>
      <c r="D36" s="3">
        <f>+EDITABLE!D37</f>
        <v>0</v>
      </c>
      <c r="E36" s="3">
        <f>+EDITABLE!E37</f>
        <v>0</v>
      </c>
      <c r="F36" s="3">
        <f>+EDITABLE!F37</f>
        <v>0</v>
      </c>
      <c r="G36" s="5">
        <f>+EDITABLE!G37</f>
        <v>0</v>
      </c>
      <c r="H36" s="3">
        <f>+EDITABLE!H37</f>
        <v>0</v>
      </c>
      <c r="I36" s="3">
        <f>+EDITABLE!I37</f>
        <v>0</v>
      </c>
      <c r="J36" s="3">
        <f>+EDITABLE!J37</f>
        <v>0</v>
      </c>
      <c r="K36" s="2">
        <f>+EDITABLE!K37</f>
        <v>0</v>
      </c>
      <c r="L36" s="24">
        <f>+EDITABLE!L37</f>
        <v>0</v>
      </c>
    </row>
    <row r="37" spans="1:13" x14ac:dyDescent="0.25">
      <c r="A37" s="3" t="str">
        <f>CONCATENATE(+EDITABLE!C39," ",H37)</f>
        <v>CPU AULA-C3</v>
      </c>
      <c r="B37" s="3" t="str">
        <f>+EDITABLE!A39</f>
        <v>CPUAULA-C3</v>
      </c>
      <c r="C37" s="6">
        <f>+EDITABLE!B39</f>
        <v>1</v>
      </c>
      <c r="D37" s="3" t="str">
        <f>+EDITABLE!D39</f>
        <v>NEGRO</v>
      </c>
      <c r="E37" s="3" t="str">
        <f>+EDITABLE!E39</f>
        <v>DELUX</v>
      </c>
      <c r="F37" s="3" t="str">
        <f>+EDITABLE!F39</f>
        <v>S/M</v>
      </c>
      <c r="G37" s="5" t="str">
        <f>+EDITABLE!G39</f>
        <v>S/S</v>
      </c>
      <c r="H37" s="3" t="str">
        <f>+EDITABLE!H39</f>
        <v>AULA-C3</v>
      </c>
      <c r="I37" s="3" t="str">
        <f>+EDITABLE!I39</f>
        <v>BUENO</v>
      </c>
      <c r="J37" s="3" t="str">
        <f>+EDITABLE!J39</f>
        <v>WINDOWS 8.1 ENTERPRISE, PROCESADOR: INTEL ® CORE TM i5-2310 CPU, 2.90 GHZ, RAM 4 GB, 64 BITS, INTERNET ALAMBRICO</v>
      </c>
      <c r="K37" s="2">
        <f>+EDITABLE!K39</f>
        <v>250</v>
      </c>
      <c r="L37" s="24">
        <f>+EDITABLE!L39</f>
        <v>45288</v>
      </c>
      <c r="M37">
        <v>3</v>
      </c>
    </row>
    <row r="38" spans="1:13" x14ac:dyDescent="0.25">
      <c r="A38" s="3" t="str">
        <f>CONCATENATE(+EDITABLE!C40," ",H38)</f>
        <v>MONITOR AULA-C3</v>
      </c>
      <c r="B38" s="3" t="str">
        <f>+EDITABLE!A40</f>
        <v>MONIAULA-C3</v>
      </c>
      <c r="C38" s="6">
        <f>+EDITABLE!B40</f>
        <v>1</v>
      </c>
      <c r="D38" s="3" t="str">
        <f>+EDITABLE!D40</f>
        <v>NEGRO</v>
      </c>
      <c r="E38" s="3" t="str">
        <f>+EDITABLE!E40</f>
        <v>HP</v>
      </c>
      <c r="F38" s="3" t="str">
        <f>+EDITABLE!F40</f>
        <v>HPLV1911</v>
      </c>
      <c r="G38" s="5" t="str">
        <f>+EDITABLE!G40</f>
        <v>6CM213011T</v>
      </c>
      <c r="H38" s="3" t="str">
        <f>+EDITABLE!H40</f>
        <v>AULA-C3</v>
      </c>
      <c r="I38" s="3" t="str">
        <f>+EDITABLE!I40</f>
        <v>BUENO</v>
      </c>
      <c r="J38" s="3" t="str">
        <f>+EDITABLE!J40</f>
        <v>19,5 PULGADAS</v>
      </c>
      <c r="K38" s="2">
        <f>+EDITABLE!K40</f>
        <v>100</v>
      </c>
      <c r="L38" s="24">
        <f>+EDITABLE!L40</f>
        <v>45288</v>
      </c>
    </row>
    <row r="39" spans="1:13" x14ac:dyDescent="0.25">
      <c r="A39" s="3" t="str">
        <f>CONCATENATE(+EDITABLE!C41," ",H39)</f>
        <v>MOUSE AULA-C3</v>
      </c>
      <c r="B39" s="3" t="str">
        <f>+EDITABLE!A41</f>
        <v>MOUSAULA-C3</v>
      </c>
      <c r="C39" s="6">
        <f>+EDITABLE!B41</f>
        <v>1</v>
      </c>
      <c r="D39" s="3" t="str">
        <f>+EDITABLE!D41</f>
        <v>NEGRO, TRASPARENTE</v>
      </c>
      <c r="E39" s="3" t="str">
        <f>+EDITABLE!E41</f>
        <v>INS</v>
      </c>
      <c r="F39" s="3" t="str">
        <f>+EDITABLE!F41</f>
        <v>S/M</v>
      </c>
      <c r="G39" s="5" t="str">
        <f>+EDITABLE!G41</f>
        <v>S/S</v>
      </c>
      <c r="H39" s="3" t="str">
        <f>+EDITABLE!H41</f>
        <v>AULA-C3</v>
      </c>
      <c r="I39" s="3" t="str">
        <f>+EDITABLE!I41</f>
        <v>BUENO</v>
      </c>
      <c r="J39" s="3" t="str">
        <f>+EDITABLE!J41</f>
        <v>ALAMBRICO, LED, OPTICO</v>
      </c>
      <c r="K39" s="2">
        <f>+EDITABLE!K41</f>
        <v>5</v>
      </c>
      <c r="L39" s="24">
        <f>+EDITABLE!L41</f>
        <v>45288</v>
      </c>
    </row>
    <row r="40" spans="1:13" x14ac:dyDescent="0.25">
      <c r="A40" s="3" t="str">
        <f>CONCATENATE(+EDITABLE!C42," ",H40)</f>
        <v>TECLADO AULA-C3</v>
      </c>
      <c r="B40" s="3" t="str">
        <f>+EDITABLE!A42</f>
        <v>TECLAULA-C3</v>
      </c>
      <c r="C40" s="6">
        <f>+EDITABLE!B42</f>
        <v>1</v>
      </c>
      <c r="D40" s="3" t="str">
        <f>+EDITABLE!D42</f>
        <v>NEGRO</v>
      </c>
      <c r="E40" s="3" t="str">
        <f>+EDITABLE!E42</f>
        <v>GENERICO</v>
      </c>
      <c r="F40" s="3" t="str">
        <f>+EDITABLE!F42</f>
        <v>S/M</v>
      </c>
      <c r="G40" s="5" t="str">
        <f>+EDITABLE!G42</f>
        <v>S/S</v>
      </c>
      <c r="H40" s="3" t="str">
        <f>+EDITABLE!H42</f>
        <v>AULA-C3</v>
      </c>
      <c r="I40" s="3" t="str">
        <f>+EDITABLE!I42</f>
        <v>BUENO</v>
      </c>
      <c r="J40" s="3" t="str">
        <f>+EDITABLE!J42</f>
        <v>ALAMBRICO, TECLADO ALFANUMÉRICO, TECLAS ESPECIALES, CONECCIÓN USB.</v>
      </c>
      <c r="K40" s="2">
        <f>+EDITABLE!K42</f>
        <v>12</v>
      </c>
      <c r="L40" s="24">
        <f>+EDITABLE!L42</f>
        <v>45288</v>
      </c>
    </row>
    <row r="41" spans="1:13" x14ac:dyDescent="0.25">
      <c r="A41" s="3" t="str">
        <f>CONCATENATE(+EDITABLE!C43," ",H41)</f>
        <v>PROYECTOR AULA-C3</v>
      </c>
      <c r="B41" s="3" t="str">
        <f>+EDITABLE!A43</f>
        <v>PROYAULA-C3</v>
      </c>
      <c r="C41" s="6">
        <f>+EDITABLE!B43</f>
        <v>1</v>
      </c>
      <c r="D41" s="3" t="str">
        <f>+EDITABLE!D43</f>
        <v>NEGRO</v>
      </c>
      <c r="E41" s="3" t="str">
        <f>+EDITABLE!E43</f>
        <v>EPSON</v>
      </c>
      <c r="F41" s="3" t="str">
        <f>+EDITABLE!F43</f>
        <v>POWER LITE S12+</v>
      </c>
      <c r="G41" s="5" t="str">
        <f>+EDITABLE!G43</f>
        <v>PSPK2308028</v>
      </c>
      <c r="H41" s="3" t="str">
        <f>+EDITABLE!H43</f>
        <v>AULA-C3</v>
      </c>
      <c r="I41" s="3" t="str">
        <f>+EDITABLE!I43</f>
        <v>BUENO</v>
      </c>
      <c r="J41" s="3" t="str">
        <f>+EDITABLE!J43</f>
        <v>CON PEDESTAL, CABLE VGA DE 15 m. Y CABLE DE ENERGIA</v>
      </c>
      <c r="K41" s="2">
        <f>+EDITABLE!K43</f>
        <v>400</v>
      </c>
      <c r="L41" s="24">
        <f>+EDITABLE!L43</f>
        <v>45288</v>
      </c>
    </row>
    <row r="42" spans="1:13" x14ac:dyDescent="0.25">
      <c r="A42" s="3" t="str">
        <f>CONCATENATE(+EDITABLE!C44," ",H42)</f>
        <v>PARLANTES AULA-C3</v>
      </c>
      <c r="B42" s="3" t="str">
        <f>+EDITABLE!A44</f>
        <v>PARLAULA-C3</v>
      </c>
      <c r="C42" s="6">
        <f>+EDITABLE!B44</f>
        <v>1</v>
      </c>
      <c r="D42" s="3" t="str">
        <f>+EDITABLE!D44</f>
        <v>NEGRO</v>
      </c>
      <c r="E42" s="3" t="str">
        <f>+EDITABLE!E44</f>
        <v>KLIP EXTREME</v>
      </c>
      <c r="F42" s="3" t="str">
        <f>+EDITABLE!F44</f>
        <v>KSS-710</v>
      </c>
      <c r="G42" s="5" t="str">
        <f>+EDITABLE!G44</f>
        <v>13-11580</v>
      </c>
      <c r="H42" s="3" t="str">
        <f>+EDITABLE!H44</f>
        <v>AULA-C3</v>
      </c>
      <c r="I42" s="3" t="str">
        <f>+EDITABLE!I44</f>
        <v>BUENO</v>
      </c>
      <c r="J42" s="3" t="str">
        <f>+EDITABLE!J44</f>
        <v>CON SOPORTE AEREO, CABLE DE SONIO DE 20 m. Y CABLE DE ENERGIA, 1 BAJO Y 2 TWITERS</v>
      </c>
      <c r="K42" s="2">
        <f>+EDITABLE!K44</f>
        <v>103</v>
      </c>
      <c r="L42" s="24">
        <f>+EDITABLE!L44</f>
        <v>45288</v>
      </c>
    </row>
    <row r="43" spans="1:13" x14ac:dyDescent="0.25">
      <c r="A43" s="3" t="str">
        <f>CONCATENATE(+EDITABLE!C45," ",H43)</f>
        <v>CAMARA VIDEO VIGILANCIA AULA-C3</v>
      </c>
      <c r="B43" s="3" t="str">
        <f>+EDITABLE!A45</f>
        <v>CAMAAULA-C3</v>
      </c>
      <c r="C43" s="6">
        <f>+EDITABLE!B45</f>
        <v>1</v>
      </c>
      <c r="D43" s="3" t="str">
        <f>+EDITABLE!D45</f>
        <v>BLANCO</v>
      </c>
      <c r="E43" s="3" t="str">
        <f>+EDITABLE!E45</f>
        <v>HIKVISION</v>
      </c>
      <c r="F43" s="3" t="str">
        <f>+EDITABLE!F45</f>
        <v>S/M</v>
      </c>
      <c r="G43" s="5" t="str">
        <f>+EDITABLE!G45</f>
        <v>S/S</v>
      </c>
      <c r="H43" s="3" t="str">
        <f>+EDITABLE!H45</f>
        <v>AULA-C3</v>
      </c>
      <c r="I43" s="3" t="str">
        <f>+EDITABLE!I45</f>
        <v>BUENO</v>
      </c>
      <c r="J43" s="3" t="str">
        <f>+EDITABLE!J45</f>
        <v>CONECTADA AL DVR Y VISION EN MOVIL Y CUARTO DE RED</v>
      </c>
      <c r="K43" s="2">
        <f>+EDITABLE!K45</f>
        <v>25</v>
      </c>
      <c r="L43" s="24">
        <f>+EDITABLE!L45</f>
        <v>44841</v>
      </c>
    </row>
    <row r="44" spans="1:13" x14ac:dyDescent="0.25">
      <c r="A44" s="3" t="str">
        <f>CONCATENATE(+EDITABLE!C46," ",H44)</f>
        <v>SENSOR DE ALARMA AULA-C3</v>
      </c>
      <c r="B44" s="3" t="str">
        <f>+EDITABLE!A46</f>
        <v>SENSAULA-C3</v>
      </c>
      <c r="C44" s="6">
        <f>+EDITABLE!B46</f>
        <v>1</v>
      </c>
      <c r="D44" s="3" t="str">
        <f>+EDITABLE!D46</f>
        <v>BLANCO</v>
      </c>
      <c r="E44" s="3" t="str">
        <f>+EDITABLE!E46</f>
        <v>DSC</v>
      </c>
      <c r="F44" s="3" t="str">
        <f>+EDITABLE!F46</f>
        <v>LC-100PI</v>
      </c>
      <c r="G44" s="5">
        <f>+EDITABLE!G46</f>
        <v>88030080</v>
      </c>
      <c r="H44" s="3" t="str">
        <f>+EDITABLE!H46</f>
        <v>AULA-C3</v>
      </c>
      <c r="I44" s="3" t="str">
        <f>+EDITABLE!I46</f>
        <v>BUENO</v>
      </c>
      <c r="J44" s="3" t="str">
        <f>+EDITABLE!J46</f>
        <v>CONECTADA AL SISTEMA DE ALARMAS</v>
      </c>
      <c r="K44" s="2">
        <f>+EDITABLE!K46</f>
        <v>20</v>
      </c>
      <c r="L44" s="24">
        <f>+EDITABLE!L46</f>
        <v>44841</v>
      </c>
    </row>
    <row r="45" spans="1:13" x14ac:dyDescent="0.25">
      <c r="A45" s="3" t="str">
        <f>CONCATENATE(+EDITABLE!C47," ",H45)</f>
        <v xml:space="preserve"> 0</v>
      </c>
      <c r="B45" s="3" t="str">
        <f>+EDITABLE!A47</f>
        <v/>
      </c>
      <c r="C45" s="6">
        <f>+EDITABLE!B47</f>
        <v>0</v>
      </c>
      <c r="D45" s="3">
        <f>+EDITABLE!D47</f>
        <v>0</v>
      </c>
      <c r="E45" s="3">
        <f>+EDITABLE!E47</f>
        <v>0</v>
      </c>
      <c r="F45" s="3">
        <f>+EDITABLE!F47</f>
        <v>0</v>
      </c>
      <c r="G45" s="5">
        <f>+EDITABLE!G47</f>
        <v>0</v>
      </c>
      <c r="H45" s="3">
        <f>+EDITABLE!H47</f>
        <v>0</v>
      </c>
      <c r="I45" s="3">
        <f>+EDITABLE!I47</f>
        <v>0</v>
      </c>
      <c r="J45" s="3">
        <f>+EDITABLE!J47</f>
        <v>0</v>
      </c>
      <c r="K45" s="2">
        <f>+EDITABLE!K47</f>
        <v>0</v>
      </c>
      <c r="L45" s="24">
        <f>+EDITABLE!L47</f>
        <v>0</v>
      </c>
    </row>
    <row r="46" spans="1:13" x14ac:dyDescent="0.25">
      <c r="A46" s="3" t="str">
        <f>CONCATENATE(+EDITABLE!C48," ",H46)</f>
        <v xml:space="preserve"> 0</v>
      </c>
      <c r="B46" s="3" t="str">
        <f>+EDITABLE!A48</f>
        <v/>
      </c>
      <c r="C46" s="6">
        <f>+EDITABLE!B48</f>
        <v>0</v>
      </c>
      <c r="D46" s="3">
        <f>+EDITABLE!D48</f>
        <v>0</v>
      </c>
      <c r="E46" s="3">
        <f>+EDITABLE!E48</f>
        <v>0</v>
      </c>
      <c r="F46" s="3">
        <f>+EDITABLE!F48</f>
        <v>0</v>
      </c>
      <c r="G46" s="5">
        <f>+EDITABLE!G48</f>
        <v>0</v>
      </c>
      <c r="H46" s="3">
        <f>+EDITABLE!H48</f>
        <v>0</v>
      </c>
      <c r="I46" s="3">
        <f>+EDITABLE!I48</f>
        <v>0</v>
      </c>
      <c r="J46" s="3">
        <f>+EDITABLE!J48</f>
        <v>0</v>
      </c>
      <c r="K46" s="2">
        <f>+EDITABLE!K48</f>
        <v>0</v>
      </c>
      <c r="L46" s="24">
        <f>+EDITABLE!L48</f>
        <v>0</v>
      </c>
    </row>
    <row r="47" spans="1:13" x14ac:dyDescent="0.25">
      <c r="A47" s="3" t="str">
        <f>CONCATENATE(+EDITABLE!C49," ",H47)</f>
        <v xml:space="preserve"> 0</v>
      </c>
      <c r="B47" s="3" t="str">
        <f>+EDITABLE!A49</f>
        <v/>
      </c>
      <c r="C47" s="6">
        <f>+EDITABLE!B49</f>
        <v>0</v>
      </c>
      <c r="D47" s="3">
        <f>+EDITABLE!D49</f>
        <v>0</v>
      </c>
      <c r="E47" s="3">
        <f>+EDITABLE!E49</f>
        <v>0</v>
      </c>
      <c r="F47" s="3">
        <f>+EDITABLE!F49</f>
        <v>0</v>
      </c>
      <c r="G47" s="5">
        <f>+EDITABLE!G49</f>
        <v>0</v>
      </c>
      <c r="H47" s="3">
        <f>+EDITABLE!H49</f>
        <v>0</v>
      </c>
      <c r="I47" s="3">
        <f>+EDITABLE!I49</f>
        <v>0</v>
      </c>
      <c r="J47" s="3">
        <f>+EDITABLE!J49</f>
        <v>0</v>
      </c>
      <c r="K47" s="2">
        <f>+EDITABLE!K49</f>
        <v>0</v>
      </c>
      <c r="L47" s="24">
        <f>+EDITABLE!L49</f>
        <v>0</v>
      </c>
    </row>
    <row r="48" spans="1:13" x14ac:dyDescent="0.25">
      <c r="A48" s="3" t="str">
        <f>CONCATENATE(+EDITABLE!C51," ",H48)</f>
        <v xml:space="preserve">CPU AULA-E2 </v>
      </c>
      <c r="B48" s="3" t="str">
        <f>+EDITABLE!A51</f>
        <v xml:space="preserve">CPUAULA-E2 </v>
      </c>
      <c r="C48" s="6">
        <f>+EDITABLE!B51</f>
        <v>1</v>
      </c>
      <c r="D48" s="3" t="str">
        <f>+EDITABLE!D51</f>
        <v>NEGRO</v>
      </c>
      <c r="E48" s="3" t="str">
        <f>+EDITABLE!E51</f>
        <v>SION</v>
      </c>
      <c r="F48" s="3" t="str">
        <f>+EDITABLE!F51</f>
        <v>PC-SION-COE I5-SAM20</v>
      </c>
      <c r="G48" s="5">
        <f>+EDITABLE!G51</f>
        <v>81834</v>
      </c>
      <c r="H48" s="3" t="str">
        <f>+EDITABLE!H51</f>
        <v xml:space="preserve">AULA-E2 </v>
      </c>
      <c r="I48" s="3" t="str">
        <f>+EDITABLE!I51</f>
        <v>BUENO</v>
      </c>
      <c r="J48" s="3" t="str">
        <f>+EDITABLE!J51</f>
        <v>WINDOWS 8.1 SINGLE LENGUAGE, PROCESADOR: INTEL ® CORE TM i5-4460 CPU, 3.20 GHZ, RAM 4 GB, 64 BITS, INTERNET ALAMBRICO</v>
      </c>
      <c r="K48" s="2">
        <f>+EDITABLE!K51</f>
        <v>250</v>
      </c>
      <c r="L48" s="24">
        <f>+EDITABLE!L51</f>
        <v>45288</v>
      </c>
      <c r="M48">
        <v>4</v>
      </c>
    </row>
    <row r="49" spans="1:13" x14ac:dyDescent="0.25">
      <c r="A49" s="3" t="str">
        <f>CONCATENATE(+EDITABLE!C52," ",H49)</f>
        <v>MOUSE AULA-E2</v>
      </c>
      <c r="B49" s="3" t="str">
        <f>+EDITABLE!A52</f>
        <v>MOUSAULA-E2</v>
      </c>
      <c r="C49" s="6">
        <f>+EDITABLE!B52</f>
        <v>1</v>
      </c>
      <c r="D49" s="3" t="str">
        <f>+EDITABLE!D52</f>
        <v>NEGRO, TRASPARENTE</v>
      </c>
      <c r="E49" s="3" t="str">
        <f>+EDITABLE!E52</f>
        <v>INS</v>
      </c>
      <c r="F49" s="3" t="str">
        <f>+EDITABLE!F52</f>
        <v>S/M</v>
      </c>
      <c r="G49" s="5" t="str">
        <f>+EDITABLE!G52</f>
        <v>S/S</v>
      </c>
      <c r="H49" s="3" t="str">
        <f>+EDITABLE!H52</f>
        <v>AULA-E2</v>
      </c>
      <c r="I49" s="3" t="str">
        <f>+EDITABLE!I52</f>
        <v>BUENO</v>
      </c>
      <c r="J49" s="3" t="str">
        <f>+EDITABLE!J52</f>
        <v>ALAMBRICO, LED, OPTICO</v>
      </c>
      <c r="K49" s="2">
        <f>+EDITABLE!K52</f>
        <v>5</v>
      </c>
      <c r="L49" s="24">
        <f>+EDITABLE!L52</f>
        <v>45288</v>
      </c>
    </row>
    <row r="50" spans="1:13" x14ac:dyDescent="0.25">
      <c r="A50" s="3" t="str">
        <f>CONCATENATE(+EDITABLE!C53," ",H50)</f>
        <v>TECLADO AULA-E2</v>
      </c>
      <c r="B50" s="3" t="str">
        <f>+EDITABLE!A53</f>
        <v>TECLAULA-E2</v>
      </c>
      <c r="C50" s="6">
        <f>+EDITABLE!B53</f>
        <v>1</v>
      </c>
      <c r="D50" s="3" t="str">
        <f>+EDITABLE!D53</f>
        <v>NEGRO</v>
      </c>
      <c r="E50" s="3" t="str">
        <f>+EDITABLE!E53</f>
        <v>DELUX</v>
      </c>
      <c r="F50" s="3" t="str">
        <f>+EDITABLE!F53</f>
        <v>K5015</v>
      </c>
      <c r="G50" s="5" t="str">
        <f>+EDITABLE!G53</f>
        <v>K50151110000601</v>
      </c>
      <c r="H50" s="3" t="str">
        <f>+EDITABLE!H53</f>
        <v>AULA-E2</v>
      </c>
      <c r="I50" s="3" t="str">
        <f>+EDITABLE!I53</f>
        <v>BUENO</v>
      </c>
      <c r="J50" s="3" t="str">
        <f>+EDITABLE!J53</f>
        <v>ALAMBRICO, HERGONÓMICO, VARIOS USOS, CONECTOR USB</v>
      </c>
      <c r="K50" s="2">
        <f>+EDITABLE!K53</f>
        <v>17</v>
      </c>
      <c r="L50" s="24">
        <f>+EDITABLE!L53</f>
        <v>45288</v>
      </c>
    </row>
    <row r="51" spans="1:13" x14ac:dyDescent="0.25">
      <c r="A51" s="3" t="str">
        <f>CONCATENATE(+EDITABLE!C54," ",H51)</f>
        <v>PROYECTOR AULA-E2</v>
      </c>
      <c r="B51" s="3" t="str">
        <f>+EDITABLE!A54</f>
        <v>PROYAULA-E2</v>
      </c>
      <c r="C51" s="6">
        <f>+EDITABLE!B54</f>
        <v>1</v>
      </c>
      <c r="D51" s="3" t="str">
        <f>+EDITABLE!D54</f>
        <v>BLANCO</v>
      </c>
      <c r="E51" s="3" t="str">
        <f>+EDITABLE!E54</f>
        <v>VIEWSONIC</v>
      </c>
      <c r="F51" s="3" t="str">
        <f>+EDITABLE!F54</f>
        <v>PA503S</v>
      </c>
      <c r="G51" s="5" t="str">
        <f>+EDITABLE!G54</f>
        <v>VOR231704316</v>
      </c>
      <c r="H51" s="3" t="str">
        <f>+EDITABLE!H54</f>
        <v>AULA-E2</v>
      </c>
      <c r="I51" s="3" t="str">
        <f>+EDITABLE!I54</f>
        <v>BUENO</v>
      </c>
      <c r="J51" s="3" t="str">
        <f>+EDITABLE!J54</f>
        <v>CON PEDESTAL, CABLE HDMI DE 15 m. Y CABLE DE ENERGIA</v>
      </c>
      <c r="K51" s="2">
        <f>+EDITABLE!K54</f>
        <v>582.72</v>
      </c>
      <c r="L51" s="24">
        <f>+EDITABLE!L54</f>
        <v>45288</v>
      </c>
    </row>
    <row r="52" spans="1:13" x14ac:dyDescent="0.25">
      <c r="A52" s="3" t="str">
        <f>CONCATENATE(+EDITABLE!C55," ",H52)</f>
        <v>CONTROL PROYECTOR AULA-E2</v>
      </c>
      <c r="B52" s="3" t="str">
        <f>+EDITABLE!A55</f>
        <v>CONTAULA-E2</v>
      </c>
      <c r="C52" s="6">
        <f>+EDITABLE!B55</f>
        <v>1</v>
      </c>
      <c r="D52" s="3" t="str">
        <f>+EDITABLE!D55</f>
        <v>BLANCO</v>
      </c>
      <c r="E52" s="3" t="str">
        <f>+EDITABLE!E55</f>
        <v>VIEWSONIC</v>
      </c>
      <c r="F52" s="3" t="str">
        <f>+EDITABLE!F55</f>
        <v>Q-3101</v>
      </c>
      <c r="G52" s="5" t="str">
        <f>+EDITABLE!G55</f>
        <v>S/S</v>
      </c>
      <c r="H52" s="3" t="str">
        <f>+EDITABLE!H55</f>
        <v>AULA-E2</v>
      </c>
      <c r="I52" s="3" t="str">
        <f>+EDITABLE!I55</f>
        <v>BUENO</v>
      </c>
      <c r="J52" s="3" t="str">
        <f>+EDITABLE!J55</f>
        <v>2 PILAS AAA</v>
      </c>
      <c r="K52" s="2">
        <f>+EDITABLE!K55</f>
        <v>10</v>
      </c>
      <c r="L52" s="24">
        <f>+EDITABLE!L55</f>
        <v>45288</v>
      </c>
    </row>
    <row r="53" spans="1:13" x14ac:dyDescent="0.25">
      <c r="A53" s="3" t="str">
        <f>CONCATENATE(+EDITABLE!C56," ",H53)</f>
        <v>PARLANTES AULA-E2</v>
      </c>
      <c r="B53" s="3" t="str">
        <f>+EDITABLE!A56</f>
        <v>PARLAULA-E2</v>
      </c>
      <c r="C53" s="6">
        <f>+EDITABLE!B56</f>
        <v>1</v>
      </c>
      <c r="D53" s="3" t="str">
        <f>+EDITABLE!D56</f>
        <v>NEGRO</v>
      </c>
      <c r="E53" s="3" t="str">
        <f>+EDITABLE!E56</f>
        <v>KLIP EXTREME</v>
      </c>
      <c r="F53" s="3" t="str">
        <f>+EDITABLE!F56</f>
        <v>KSS-710</v>
      </c>
      <c r="G53" s="5" t="str">
        <f>+EDITABLE!G56</f>
        <v>13-11580</v>
      </c>
      <c r="H53" s="3" t="str">
        <f>+EDITABLE!H56</f>
        <v>AULA-E2</v>
      </c>
      <c r="I53" s="3" t="str">
        <f>+EDITABLE!I56</f>
        <v>BUENO</v>
      </c>
      <c r="J53" s="3" t="str">
        <f>+EDITABLE!J56</f>
        <v>CON SOPORTE AEREO, CABLE DE SONIO DE 20 m. Y CABLE DE ENERGIA, 1 BAJO Y 2 TWITERS</v>
      </c>
      <c r="K53" s="2">
        <f>+EDITABLE!K56</f>
        <v>103</v>
      </c>
      <c r="L53" s="24">
        <f>+EDITABLE!L56</f>
        <v>45288</v>
      </c>
    </row>
    <row r="54" spans="1:13" x14ac:dyDescent="0.25">
      <c r="A54" s="3" t="str">
        <f>CONCATENATE(+EDITABLE!C57," ",H54)</f>
        <v>CAMARA VIDEO VIGILANCIA AULA-E2</v>
      </c>
      <c r="B54" s="3" t="str">
        <f>+EDITABLE!A57</f>
        <v>CAMAAULA-E2</v>
      </c>
      <c r="C54" s="6">
        <f>+EDITABLE!B57</f>
        <v>1</v>
      </c>
      <c r="D54" s="3" t="str">
        <f>+EDITABLE!D57</f>
        <v>BLANCO</v>
      </c>
      <c r="E54" s="3" t="str">
        <f>+EDITABLE!E57</f>
        <v>HIKVISION</v>
      </c>
      <c r="F54" s="3" t="str">
        <f>+EDITABLE!F57</f>
        <v>S/M</v>
      </c>
      <c r="G54" s="5" t="str">
        <f>+EDITABLE!G57</f>
        <v>S/S</v>
      </c>
      <c r="H54" s="3" t="str">
        <f>+EDITABLE!H57</f>
        <v>AULA-E2</v>
      </c>
      <c r="I54" s="3" t="str">
        <f>+EDITABLE!I57</f>
        <v>BUENO</v>
      </c>
      <c r="J54" s="3" t="str">
        <f>+EDITABLE!J57</f>
        <v>CONECTADA AL DVR Y VISION EN MOVIL Y CUARTO DE RED</v>
      </c>
      <c r="K54" s="2">
        <f>+EDITABLE!K57</f>
        <v>35</v>
      </c>
      <c r="L54" s="24">
        <f>+EDITABLE!L57</f>
        <v>45288</v>
      </c>
    </row>
    <row r="55" spans="1:13" x14ac:dyDescent="0.25">
      <c r="A55" s="3" t="str">
        <f>CONCATENATE(+EDITABLE!C58," ",H55)</f>
        <v>SENSOR DE ALARMA AULA-E2</v>
      </c>
      <c r="B55" s="3" t="str">
        <f>+EDITABLE!A58</f>
        <v>SENSAULA-E2</v>
      </c>
      <c r="C55" s="6">
        <f>+EDITABLE!B58</f>
        <v>1</v>
      </c>
      <c r="D55" s="3" t="str">
        <f>+EDITABLE!D58</f>
        <v>BLANCO</v>
      </c>
      <c r="E55" s="3" t="str">
        <f>+EDITABLE!E58</f>
        <v>DSC</v>
      </c>
      <c r="F55" s="3" t="str">
        <f>+EDITABLE!F58</f>
        <v>LC-100PI</v>
      </c>
      <c r="G55" s="5">
        <f>+EDITABLE!G58</f>
        <v>88030080</v>
      </c>
      <c r="H55" s="3" t="str">
        <f>+EDITABLE!H58</f>
        <v>AULA-E2</v>
      </c>
      <c r="I55" s="3" t="str">
        <f>+EDITABLE!I58</f>
        <v>BUENO</v>
      </c>
      <c r="J55" s="3" t="str">
        <f>+EDITABLE!J58</f>
        <v>CONECTADA AL SISTEMA DE ALARMAS</v>
      </c>
      <c r="K55" s="2">
        <f>+EDITABLE!K58</f>
        <v>20</v>
      </c>
      <c r="L55" s="24">
        <f>+EDITABLE!L58</f>
        <v>44841</v>
      </c>
    </row>
    <row r="56" spans="1:13" x14ac:dyDescent="0.25">
      <c r="A56" s="3" t="str">
        <f>CONCATENATE(+EDITABLE!C59," ",H56)</f>
        <v>REGULADOR DE VOLTAJE AULA-E2</v>
      </c>
      <c r="B56" s="3" t="str">
        <f>+EDITABLE!A59</f>
        <v>REGUAULA-E2</v>
      </c>
      <c r="C56" s="6">
        <f>+EDITABLE!B59</f>
        <v>1</v>
      </c>
      <c r="D56" s="3" t="str">
        <f>+EDITABLE!D59</f>
        <v>NEGRO</v>
      </c>
      <c r="E56" s="3" t="str">
        <f>+EDITABLE!E59</f>
        <v>AITEX</v>
      </c>
      <c r="F56" s="3" t="str">
        <f>+EDITABLE!F59</f>
        <v>AVR 1600SN</v>
      </c>
      <c r="G56" s="5">
        <f>+EDITABLE!G59</f>
        <v>130414500</v>
      </c>
      <c r="H56" s="3" t="str">
        <f>+EDITABLE!H59</f>
        <v>AULA-E2</v>
      </c>
      <c r="I56" s="3" t="str">
        <f>+EDITABLE!I59</f>
        <v>BIENO</v>
      </c>
      <c r="J56" s="3" t="str">
        <f>+EDITABLE!J59</f>
        <v>DE 8 TOMAS, 120V-60HZ Y DOS TOMAS RJ11PARA TELÉFONO</v>
      </c>
      <c r="K56" s="2">
        <f>+EDITABLE!K59</f>
        <v>15</v>
      </c>
      <c r="L56" s="24">
        <f>+EDITABLE!L59</f>
        <v>45288</v>
      </c>
    </row>
    <row r="57" spans="1:13" x14ac:dyDescent="0.25">
      <c r="A57" s="3" t="str">
        <f>CONCATENATE(+EDITABLE!C60," ",H57)</f>
        <v>ADAPTADOR DE INTERNET AULA-E2</v>
      </c>
      <c r="B57" s="3" t="str">
        <f>+EDITABLE!A60</f>
        <v>ADAPAULA-E2</v>
      </c>
      <c r="C57" s="6">
        <f>+EDITABLE!B60</f>
        <v>1</v>
      </c>
      <c r="D57" s="3" t="str">
        <f>+EDITABLE!D60</f>
        <v>BLANCO</v>
      </c>
      <c r="E57" s="3" t="str">
        <f>+EDITABLE!E60</f>
        <v>UI.COM</v>
      </c>
      <c r="F57" s="3" t="str">
        <f>+EDITABLE!F60</f>
        <v>GP-A240-050G</v>
      </c>
      <c r="G57" s="5">
        <f>+EDITABLE!G60</f>
        <v>19320005685</v>
      </c>
      <c r="H57" s="3" t="str">
        <f>+EDITABLE!H60</f>
        <v>AULA-E2</v>
      </c>
      <c r="I57" s="3" t="str">
        <f>+EDITABLE!I60</f>
        <v>BUENO</v>
      </c>
      <c r="J57" s="3" t="str">
        <f>+EDITABLE!J60</f>
        <v>DOS PUERTOS 1 DE ENTRADA Y 1  SALIDA, CABLE DE ENERGIA</v>
      </c>
      <c r="K57" s="2">
        <f>+EDITABLE!K60</f>
        <v>40</v>
      </c>
      <c r="L57" s="24">
        <f>+EDITABLE!L60</f>
        <v>45288</v>
      </c>
    </row>
    <row r="58" spans="1:13" x14ac:dyDescent="0.25">
      <c r="A58" s="3" t="str">
        <f>CONCATENATE(+EDITABLE!C61," ",H58)</f>
        <v xml:space="preserve"> 0</v>
      </c>
      <c r="B58" s="3" t="str">
        <f>+EDITABLE!A61</f>
        <v/>
      </c>
      <c r="C58" s="6">
        <f>+EDITABLE!B61</f>
        <v>0</v>
      </c>
      <c r="D58" s="3">
        <f>+EDITABLE!D61</f>
        <v>0</v>
      </c>
      <c r="E58" s="3">
        <f>+EDITABLE!E61</f>
        <v>0</v>
      </c>
      <c r="F58" s="3">
        <f>+EDITABLE!F61</f>
        <v>0</v>
      </c>
      <c r="G58" s="5">
        <f>+EDITABLE!G61</f>
        <v>0</v>
      </c>
      <c r="H58" s="3">
        <f>+EDITABLE!H61</f>
        <v>0</v>
      </c>
      <c r="I58" s="3">
        <f>+EDITABLE!I61</f>
        <v>0</v>
      </c>
      <c r="J58" s="3">
        <f>+EDITABLE!J61</f>
        <v>0</v>
      </c>
      <c r="K58" s="2">
        <f>+EDITABLE!K61</f>
        <v>0</v>
      </c>
      <c r="L58" s="24">
        <f>+EDITABLE!L61</f>
        <v>0</v>
      </c>
    </row>
    <row r="59" spans="1:13" x14ac:dyDescent="0.25">
      <c r="A59" s="3" t="str">
        <f>CONCATENATE(+EDITABLE!C62," ",H59)</f>
        <v xml:space="preserve"> 0</v>
      </c>
      <c r="B59" s="3" t="str">
        <f>+EDITABLE!A62</f>
        <v/>
      </c>
      <c r="C59" s="6">
        <f>+EDITABLE!B62</f>
        <v>0</v>
      </c>
      <c r="D59" s="3">
        <f>+EDITABLE!D62</f>
        <v>0</v>
      </c>
      <c r="E59" s="3">
        <f>+EDITABLE!E62</f>
        <v>0</v>
      </c>
      <c r="F59" s="3">
        <f>+EDITABLE!F62</f>
        <v>0</v>
      </c>
      <c r="G59" s="5">
        <f>+EDITABLE!G62</f>
        <v>0</v>
      </c>
      <c r="H59" s="3">
        <f>+EDITABLE!H62</f>
        <v>0</v>
      </c>
      <c r="I59" s="3">
        <f>+EDITABLE!I62</f>
        <v>0</v>
      </c>
      <c r="J59" s="3">
        <f>+EDITABLE!J62</f>
        <v>0</v>
      </c>
      <c r="K59" s="2">
        <f>+EDITABLE!K62</f>
        <v>0</v>
      </c>
      <c r="L59" s="24">
        <f>+EDITABLE!L62</f>
        <v>0</v>
      </c>
    </row>
    <row r="60" spans="1:13" x14ac:dyDescent="0.25">
      <c r="A60" s="3" t="str">
        <f>CONCATENATE(+EDITABLE!C63," ",H60)</f>
        <v xml:space="preserve"> 0</v>
      </c>
      <c r="B60" s="3" t="str">
        <f>+EDITABLE!A63</f>
        <v/>
      </c>
      <c r="C60" s="6">
        <f>+EDITABLE!B63</f>
        <v>0</v>
      </c>
      <c r="D60" s="3">
        <f>+EDITABLE!D63</f>
        <v>0</v>
      </c>
      <c r="E60" s="3">
        <f>+EDITABLE!E63</f>
        <v>0</v>
      </c>
      <c r="F60" s="3">
        <f>+EDITABLE!F63</f>
        <v>0</v>
      </c>
      <c r="G60" s="5">
        <f>+EDITABLE!G63</f>
        <v>0</v>
      </c>
      <c r="H60" s="3">
        <f>+EDITABLE!H63</f>
        <v>0</v>
      </c>
      <c r="I60" s="3">
        <f>+EDITABLE!I63</f>
        <v>0</v>
      </c>
      <c r="J60" s="3">
        <f>+EDITABLE!J63</f>
        <v>0</v>
      </c>
      <c r="K60" s="2">
        <f>+EDITABLE!K63</f>
        <v>0</v>
      </c>
      <c r="L60" s="24">
        <f>+EDITABLE!L63</f>
        <v>0</v>
      </c>
    </row>
    <row r="61" spans="1:13" x14ac:dyDescent="0.25">
      <c r="A61" s="3" t="str">
        <f>CONCATENATE(+EDITABLE!C65," ",H61)</f>
        <v>CPU AULA-D1</v>
      </c>
      <c r="B61" s="3" t="str">
        <f>+EDITABLE!A65</f>
        <v>CPUAULA-D1</v>
      </c>
      <c r="C61" s="6">
        <f>+EDITABLE!B65</f>
        <v>1</v>
      </c>
      <c r="D61" s="3" t="str">
        <f>+EDITABLE!D65</f>
        <v>NEGRO</v>
      </c>
      <c r="E61" s="3" t="str">
        <f>+EDITABLE!E65</f>
        <v>INS</v>
      </c>
      <c r="F61" s="3" t="str">
        <f>+EDITABLE!F65</f>
        <v>GENERICO</v>
      </c>
      <c r="G61" s="5" t="str">
        <f>+EDITABLE!G65</f>
        <v>GENERICO</v>
      </c>
      <c r="H61" s="3" t="str">
        <f>+EDITABLE!H65</f>
        <v>AULA-D1</v>
      </c>
      <c r="I61" s="3" t="str">
        <f>+EDITABLE!I65</f>
        <v>BUENO</v>
      </c>
      <c r="J61" s="3" t="str">
        <f>+EDITABLE!J65</f>
        <v>WINDOWS 8.1 ENTERPRISE, PROCESADOR: INTEL ® CORE TM i3-9100F CPU, 3.60 GHZ, RAM 4 GB, 64 BITS, INTERNET ALAMBRICO</v>
      </c>
      <c r="K61" s="2">
        <f>+EDITABLE!K65</f>
        <v>250</v>
      </c>
      <c r="L61" s="24">
        <f>+EDITABLE!L65</f>
        <v>45288</v>
      </c>
      <c r="M61">
        <v>5</v>
      </c>
    </row>
    <row r="62" spans="1:13" x14ac:dyDescent="0.25">
      <c r="A62" s="3" t="str">
        <f>CONCATENATE(+EDITABLE!C66," ",H62)</f>
        <v>MOUSE AULA-D1</v>
      </c>
      <c r="B62" s="3" t="str">
        <f>+EDITABLE!A66</f>
        <v>MOUSAULA-D1</v>
      </c>
      <c r="C62" s="6">
        <f>+EDITABLE!B66</f>
        <v>1</v>
      </c>
      <c r="D62" s="3" t="str">
        <f>+EDITABLE!D66</f>
        <v>NEGRO, TRASPARENTE</v>
      </c>
      <c r="E62" s="3" t="str">
        <f>+EDITABLE!E66</f>
        <v>INS</v>
      </c>
      <c r="F62" s="3" t="str">
        <f>+EDITABLE!F66</f>
        <v>S/M</v>
      </c>
      <c r="G62" s="5" t="str">
        <f>+EDITABLE!G66</f>
        <v>S/S</v>
      </c>
      <c r="H62" s="3" t="str">
        <f>+EDITABLE!H66</f>
        <v>AULA-D1</v>
      </c>
      <c r="I62" s="3" t="str">
        <f>+EDITABLE!I66</f>
        <v>BUENO</v>
      </c>
      <c r="J62" s="3" t="str">
        <f>+EDITABLE!J66</f>
        <v>ALAMBRICO, LED, OPTICO</v>
      </c>
      <c r="K62" s="2">
        <f>+EDITABLE!K66</f>
        <v>5</v>
      </c>
      <c r="L62" s="24">
        <f>+EDITABLE!L66</f>
        <v>45288</v>
      </c>
    </row>
    <row r="63" spans="1:13" x14ac:dyDescent="0.25">
      <c r="A63" s="3" t="str">
        <f>CONCATENATE(+EDITABLE!C67," ",H63)</f>
        <v>TECLADO AULA-D1</v>
      </c>
      <c r="B63" s="3" t="str">
        <f>+EDITABLE!A67</f>
        <v>TECLAULA-D1</v>
      </c>
      <c r="C63" s="6">
        <f>+EDITABLE!B67</f>
        <v>1</v>
      </c>
      <c r="D63" s="3" t="str">
        <f>+EDITABLE!D67</f>
        <v>NEGRO</v>
      </c>
      <c r="E63" s="3" t="str">
        <f>+EDITABLE!E67</f>
        <v>GENIUS</v>
      </c>
      <c r="F63" s="3" t="str">
        <f>+EDITABLE!F67</f>
        <v>KB-115</v>
      </c>
      <c r="G63" s="5" t="str">
        <f>+EDITABLE!G67</f>
        <v>UD19M2705685</v>
      </c>
      <c r="H63" s="3" t="str">
        <f>+EDITABLE!H67</f>
        <v>AULA-D1</v>
      </c>
      <c r="I63" s="3" t="str">
        <f>+EDITABLE!I67</f>
        <v>BUENO</v>
      </c>
      <c r="J63" s="3" t="str">
        <f>+EDITABLE!J67</f>
        <v>ALAMBRICO, CONECTOR USB, COMPATIBLE PARA JUEGOS, TECLADO NUMÉRICO.</v>
      </c>
      <c r="K63" s="2">
        <f>+EDITABLE!K67</f>
        <v>10</v>
      </c>
      <c r="L63" s="24">
        <f>+EDITABLE!L67</f>
        <v>45288</v>
      </c>
    </row>
    <row r="64" spans="1:13" x14ac:dyDescent="0.25">
      <c r="A64" s="3" t="str">
        <f>CONCATENATE(+EDITABLE!C68," ",H64)</f>
        <v>PROYECTOR AULA-D1</v>
      </c>
      <c r="B64" s="3" t="str">
        <f>+EDITABLE!A68</f>
        <v>PROYAULA-D1</v>
      </c>
      <c r="C64" s="6">
        <f>+EDITABLE!B68</f>
        <v>1</v>
      </c>
      <c r="D64" s="3" t="str">
        <f>+EDITABLE!D68</f>
        <v>BLANCO</v>
      </c>
      <c r="E64" s="3" t="str">
        <f>+EDITABLE!E68</f>
        <v>VIEWSONIC</v>
      </c>
      <c r="F64" s="3" t="str">
        <f>+EDITABLE!F68</f>
        <v>PA503S</v>
      </c>
      <c r="G64" s="5" t="str">
        <f>+EDITABLE!G68</f>
        <v>VOR231704169</v>
      </c>
      <c r="H64" s="3" t="str">
        <f>+EDITABLE!H68</f>
        <v>AULA-D1</v>
      </c>
      <c r="I64" s="3" t="str">
        <f>+EDITABLE!I68</f>
        <v>BUENO</v>
      </c>
      <c r="J64" s="3" t="str">
        <f>+EDITABLE!J68</f>
        <v>CON PEDESTAL, CABLE HDMI DE 15 m. Y CABLE DE ENERGIA</v>
      </c>
      <c r="K64" s="2">
        <f>+EDITABLE!K68</f>
        <v>582.72</v>
      </c>
      <c r="L64" s="24">
        <f>+EDITABLE!L68</f>
        <v>45288</v>
      </c>
    </row>
    <row r="65" spans="1:13" x14ac:dyDescent="0.25">
      <c r="A65" s="3" t="str">
        <f>CONCATENATE(+EDITABLE!C69," ",H65)</f>
        <v>CONTROL PROYECTOR AULA-D1</v>
      </c>
      <c r="B65" s="3" t="str">
        <f>+EDITABLE!A69</f>
        <v>CONTAULA-D1</v>
      </c>
      <c r="C65" s="6">
        <f>+EDITABLE!B69</f>
        <v>1</v>
      </c>
      <c r="D65" s="3" t="str">
        <f>+EDITABLE!D69</f>
        <v>BLANCO</v>
      </c>
      <c r="E65" s="3" t="str">
        <f>+EDITABLE!E69</f>
        <v>VIEWSONIC</v>
      </c>
      <c r="F65" s="3" t="str">
        <f>+EDITABLE!F69</f>
        <v>Q-3101</v>
      </c>
      <c r="G65" s="5" t="str">
        <f>+EDITABLE!G69</f>
        <v>S/S</v>
      </c>
      <c r="H65" s="3" t="str">
        <f>+EDITABLE!H69</f>
        <v>AULA-D1</v>
      </c>
      <c r="I65" s="3" t="str">
        <f>+EDITABLE!I69</f>
        <v>BUENO</v>
      </c>
      <c r="J65" s="3" t="str">
        <f>+EDITABLE!J69</f>
        <v>2 PILAS AAA</v>
      </c>
      <c r="K65" s="2">
        <f>+EDITABLE!K69</f>
        <v>10</v>
      </c>
      <c r="L65" s="24">
        <f>+EDITABLE!L69</f>
        <v>45288</v>
      </c>
    </row>
    <row r="66" spans="1:13" x14ac:dyDescent="0.25">
      <c r="A66" s="3" t="str">
        <f>CONCATENATE(+EDITABLE!C70," ",H66)</f>
        <v>PARLANTES AULA-D1</v>
      </c>
      <c r="B66" s="3" t="str">
        <f>+EDITABLE!A70</f>
        <v>PARLAULA-D1</v>
      </c>
      <c r="C66" s="6">
        <f>+EDITABLE!B70</f>
        <v>1</v>
      </c>
      <c r="D66" s="3" t="str">
        <f>+EDITABLE!D70</f>
        <v>NEGRO</v>
      </c>
      <c r="E66" s="3" t="str">
        <f>+EDITABLE!E70</f>
        <v>GENERICO</v>
      </c>
      <c r="F66" s="3" t="str">
        <f>+EDITABLE!F70</f>
        <v>S/M</v>
      </c>
      <c r="G66" s="5" t="str">
        <f>+EDITABLE!G70</f>
        <v>S/S</v>
      </c>
      <c r="H66" s="3" t="str">
        <f>+EDITABLE!H70</f>
        <v>AULA-D1</v>
      </c>
      <c r="I66" s="3" t="str">
        <f>+EDITABLE!I70</f>
        <v>BUENO</v>
      </c>
      <c r="J66" s="3" t="str">
        <f>+EDITABLE!J70</f>
        <v xml:space="preserve">CON SOPORTE AEREO, CABLE DE SONIO Y CABLE DE ENERGIA, 1 BAJO Y DOS TWITER </v>
      </c>
      <c r="K66" s="2">
        <f>+EDITABLE!K70</f>
        <v>39.200000000000003</v>
      </c>
      <c r="L66" s="24">
        <f>+EDITABLE!L70</f>
        <v>45288</v>
      </c>
    </row>
    <row r="67" spans="1:13" x14ac:dyDescent="0.25">
      <c r="A67" s="3" t="str">
        <f>CONCATENATE(+EDITABLE!C71," ",H67)</f>
        <v>CAMARA VIDEO VIGILANCIA AULA-D1</v>
      </c>
      <c r="B67" s="3" t="str">
        <f>+EDITABLE!A71</f>
        <v>CAMAAULA-D1</v>
      </c>
      <c r="C67" s="6">
        <f>+EDITABLE!B71</f>
        <v>1</v>
      </c>
      <c r="D67" s="3" t="str">
        <f>+EDITABLE!D71</f>
        <v>BLANCO</v>
      </c>
      <c r="E67" s="3" t="str">
        <f>+EDITABLE!E71</f>
        <v>EZVIZ</v>
      </c>
      <c r="F67" s="3" t="str">
        <f>+EDITABLE!F71</f>
        <v>S/M</v>
      </c>
      <c r="G67" s="5" t="str">
        <f>+EDITABLE!G71</f>
        <v>S/S</v>
      </c>
      <c r="H67" s="3" t="str">
        <f>+EDITABLE!H71</f>
        <v>AULA-D1</v>
      </c>
      <c r="I67" s="3" t="str">
        <f>+EDITABLE!I71</f>
        <v>BUENO</v>
      </c>
      <c r="J67" s="3" t="str">
        <f>+EDITABLE!J71</f>
        <v>VISION EN MOVIL GIRATORIA, CON ALARMA, TARGETA MICRO DE 64 GB</v>
      </c>
      <c r="K67" s="2">
        <f>+EDITABLE!K71</f>
        <v>185.45</v>
      </c>
      <c r="L67" s="24">
        <f>+EDITABLE!L71</f>
        <v>45489</v>
      </c>
    </row>
    <row r="68" spans="1:13" x14ac:dyDescent="0.25">
      <c r="A68" s="3" t="str">
        <f>CONCATENATE(+EDITABLE!C72," ",H68)</f>
        <v>MODEM WIFI AULA-D1</v>
      </c>
      <c r="B68" s="3" t="str">
        <f>+EDITABLE!A72</f>
        <v>MODEAULA-D1</v>
      </c>
      <c r="C68" s="6">
        <f>+EDITABLE!B72</f>
        <v>1</v>
      </c>
      <c r="D68" s="3" t="str">
        <f>+EDITABLE!D72</f>
        <v>NEGRO</v>
      </c>
      <c r="E68" s="3" t="str">
        <f>+EDITABLE!E72</f>
        <v>TP-LINK</v>
      </c>
      <c r="F68" s="3" t="str">
        <f>+EDITABLE!F72</f>
        <v>ARCHEDC50(ES)</v>
      </c>
      <c r="G68" s="5" t="str">
        <f>+EDITABLE!G72</f>
        <v>223C3L1003679</v>
      </c>
      <c r="H68" s="3" t="str">
        <f>+EDITABLE!H72</f>
        <v>AULA-D1</v>
      </c>
      <c r="I68" s="3" t="str">
        <f>+EDITABLE!I72</f>
        <v>BUENO</v>
      </c>
      <c r="J68" s="3" t="str">
        <f>+EDITABLE!J72</f>
        <v>5 PUERTOS RJ45 Y CABLE DE ENERGIA</v>
      </c>
      <c r="K68" s="2">
        <f>+EDITABLE!K72</f>
        <v>33.6</v>
      </c>
      <c r="L68" s="24">
        <f>+EDITABLE!L72</f>
        <v>45288</v>
      </c>
    </row>
    <row r="69" spans="1:13" x14ac:dyDescent="0.25">
      <c r="A69" s="3" t="str">
        <f>CONCATENATE(+EDITABLE!C73," ",H69)</f>
        <v xml:space="preserve"> 0</v>
      </c>
      <c r="B69" s="3" t="str">
        <f>+EDITABLE!A73</f>
        <v/>
      </c>
      <c r="C69" s="6">
        <f>+EDITABLE!B73</f>
        <v>0</v>
      </c>
      <c r="D69" s="3">
        <f>+EDITABLE!D73</f>
        <v>0</v>
      </c>
      <c r="E69" s="3">
        <f>+EDITABLE!E73</f>
        <v>0</v>
      </c>
      <c r="F69" s="3">
        <f>+EDITABLE!F73</f>
        <v>0</v>
      </c>
      <c r="G69" s="5">
        <f>+EDITABLE!G73</f>
        <v>0</v>
      </c>
      <c r="H69" s="3">
        <f>+EDITABLE!H73</f>
        <v>0</v>
      </c>
      <c r="I69" s="3">
        <f>+EDITABLE!I73</f>
        <v>0</v>
      </c>
      <c r="J69" s="3">
        <f>+EDITABLE!J73</f>
        <v>0</v>
      </c>
      <c r="K69" s="2">
        <f>+EDITABLE!K73</f>
        <v>0</v>
      </c>
      <c r="L69" s="24">
        <f>+EDITABLE!L73</f>
        <v>0</v>
      </c>
    </row>
    <row r="70" spans="1:13" x14ac:dyDescent="0.25">
      <c r="A70" s="3" t="str">
        <f>CONCATENATE(+EDITABLE!C74," ",H70)</f>
        <v xml:space="preserve"> 0</v>
      </c>
      <c r="B70" s="3" t="str">
        <f>+EDITABLE!A74</f>
        <v/>
      </c>
      <c r="C70" s="6">
        <f>+EDITABLE!B74</f>
        <v>0</v>
      </c>
      <c r="D70" s="3">
        <f>+EDITABLE!D74</f>
        <v>0</v>
      </c>
      <c r="E70" s="3">
        <f>+EDITABLE!E74</f>
        <v>0</v>
      </c>
      <c r="F70" s="3">
        <f>+EDITABLE!F74</f>
        <v>0</v>
      </c>
      <c r="G70" s="5">
        <f>+EDITABLE!G74</f>
        <v>0</v>
      </c>
      <c r="H70" s="3">
        <f>+EDITABLE!H74</f>
        <v>0</v>
      </c>
      <c r="I70" s="3">
        <f>+EDITABLE!I74</f>
        <v>0</v>
      </c>
      <c r="J70" s="3">
        <f>+EDITABLE!J74</f>
        <v>0</v>
      </c>
      <c r="K70" s="2">
        <f>+EDITABLE!K74</f>
        <v>0</v>
      </c>
      <c r="L70" s="24">
        <f>+EDITABLE!L74</f>
        <v>0</v>
      </c>
    </row>
    <row r="71" spans="1:13" x14ac:dyDescent="0.25">
      <c r="A71" s="3" t="str">
        <f>CONCATENATE(+EDITABLE!C75," ",H71)</f>
        <v xml:space="preserve"> 0</v>
      </c>
      <c r="B71" s="3" t="str">
        <f>+EDITABLE!A75</f>
        <v/>
      </c>
      <c r="C71" s="6">
        <f>+EDITABLE!B75</f>
        <v>0</v>
      </c>
      <c r="D71" s="3">
        <f>+EDITABLE!D75</f>
        <v>0</v>
      </c>
      <c r="E71" s="3">
        <f>+EDITABLE!E75</f>
        <v>0</v>
      </c>
      <c r="F71" s="3">
        <f>+EDITABLE!F75</f>
        <v>0</v>
      </c>
      <c r="G71" s="5">
        <f>+EDITABLE!G75</f>
        <v>0</v>
      </c>
      <c r="H71" s="3">
        <f>+EDITABLE!H75</f>
        <v>0</v>
      </c>
      <c r="I71" s="3">
        <f>+EDITABLE!I75</f>
        <v>0</v>
      </c>
      <c r="J71" s="3">
        <f>+EDITABLE!J75</f>
        <v>0</v>
      </c>
      <c r="K71" s="2">
        <f>+EDITABLE!K75</f>
        <v>0</v>
      </c>
      <c r="L71" s="24">
        <f>+EDITABLE!L75</f>
        <v>0</v>
      </c>
    </row>
    <row r="72" spans="1:13" x14ac:dyDescent="0.25">
      <c r="A72" s="3" t="str">
        <f>CONCATENATE(+EDITABLE!C77," ",H72)</f>
        <v>CPU AULA-E1</v>
      </c>
      <c r="B72" s="3" t="str">
        <f>+EDITABLE!A77</f>
        <v>CPUAULA-E1</v>
      </c>
      <c r="C72" s="6">
        <f>+EDITABLE!B77</f>
        <v>1</v>
      </c>
      <c r="D72" s="3" t="str">
        <f>+EDITABLE!D77</f>
        <v>NEGRO</v>
      </c>
      <c r="E72" s="3" t="str">
        <f>+EDITABLE!E77</f>
        <v>INS</v>
      </c>
      <c r="F72" s="3" t="str">
        <f>+EDITABLE!F77</f>
        <v>GENERICO</v>
      </c>
      <c r="G72" s="5" t="str">
        <f>+EDITABLE!G77</f>
        <v>GENERICO</v>
      </c>
      <c r="H72" s="3" t="str">
        <f>+EDITABLE!H77</f>
        <v>AULA-E1</v>
      </c>
      <c r="I72" s="3" t="str">
        <f>+EDITABLE!I77</f>
        <v>BUENO</v>
      </c>
      <c r="J72" s="3" t="str">
        <f>+EDITABLE!J77</f>
        <v>WINDOWS 8.1 ENTERPRISE, PROCESADOR: INTEL ® CORE TM i3-9100F CPU, 3.60 GHZ, RAM 4 GB, 64 BITS, INTERNET ALAMBRICO</v>
      </c>
      <c r="K72" s="2">
        <f>+EDITABLE!K77</f>
        <v>250</v>
      </c>
      <c r="L72" s="24">
        <f>+EDITABLE!L77</f>
        <v>45288</v>
      </c>
      <c r="M72">
        <v>6</v>
      </c>
    </row>
    <row r="73" spans="1:13" x14ac:dyDescent="0.25">
      <c r="A73" s="3" t="str">
        <f>CONCATENATE(+EDITABLE!C78," ",H73)</f>
        <v>MOUSE AULA-E1</v>
      </c>
      <c r="B73" s="3" t="str">
        <f>+EDITABLE!A78</f>
        <v>MOUSAULA-E1</v>
      </c>
      <c r="C73" s="6">
        <f>+EDITABLE!B78</f>
        <v>1</v>
      </c>
      <c r="D73" s="3" t="str">
        <f>+EDITABLE!D78</f>
        <v>NEGRO</v>
      </c>
      <c r="E73" s="3" t="str">
        <f>+EDITABLE!E78</f>
        <v>GENIUS</v>
      </c>
      <c r="F73" s="3" t="str">
        <f>+EDITABLE!F78</f>
        <v>GM-120014</v>
      </c>
      <c r="G73" s="5" t="str">
        <f>+EDITABLE!G78</f>
        <v>X3E86009907469</v>
      </c>
      <c r="H73" s="3" t="str">
        <f>+EDITABLE!H78</f>
        <v>AULA-E1</v>
      </c>
      <c r="I73" s="3" t="str">
        <f>+EDITABLE!I78</f>
        <v>BUENO</v>
      </c>
      <c r="J73" s="3" t="str">
        <f>+EDITABLE!J78</f>
        <v>ALAMBRICO, LED, DISEÑO ERGONÓMICO</v>
      </c>
      <c r="K73" s="2">
        <f>+EDITABLE!K78</f>
        <v>6</v>
      </c>
      <c r="L73" s="24">
        <f>+EDITABLE!L78</f>
        <v>45288</v>
      </c>
    </row>
    <row r="74" spans="1:13" x14ac:dyDescent="0.25">
      <c r="A74" s="3" t="str">
        <f>CONCATENATE(+EDITABLE!C79," ",H74)</f>
        <v>TECLADO AULA-E1</v>
      </c>
      <c r="B74" s="3" t="str">
        <f>+EDITABLE!A79</f>
        <v>TECLAULA-E1</v>
      </c>
      <c r="C74" s="6">
        <f>+EDITABLE!B79</f>
        <v>1</v>
      </c>
      <c r="D74" s="3" t="str">
        <f>+EDITABLE!D79</f>
        <v>NEGRO</v>
      </c>
      <c r="E74" s="3" t="str">
        <f>+EDITABLE!E79</f>
        <v>DELUX</v>
      </c>
      <c r="F74" s="3" t="str">
        <f>+EDITABLE!F79</f>
        <v>K5015</v>
      </c>
      <c r="G74" s="5" t="str">
        <f>+EDITABLE!G79</f>
        <v>K501541111002496</v>
      </c>
      <c r="H74" s="3" t="str">
        <f>+EDITABLE!H79</f>
        <v>AULA-E1</v>
      </c>
      <c r="I74" s="3" t="str">
        <f>+EDITABLE!I79</f>
        <v>BUENO</v>
      </c>
      <c r="J74" s="3" t="str">
        <f>+EDITABLE!J79</f>
        <v>ALAMBRICO, HERGONÓMICO, VARIOS USOS, CONECTOR USB</v>
      </c>
      <c r="K74" s="2">
        <f>+EDITABLE!K79</f>
        <v>17</v>
      </c>
      <c r="L74" s="24">
        <f>+EDITABLE!L79</f>
        <v>45288</v>
      </c>
    </row>
    <row r="75" spans="1:13" x14ac:dyDescent="0.25">
      <c r="A75" s="3" t="str">
        <f>CONCATENATE(+EDITABLE!C80," ",H75)</f>
        <v>PROYECTOR AULA-E1</v>
      </c>
      <c r="B75" s="3" t="str">
        <f>+EDITABLE!A80</f>
        <v>PROYAULA-E1</v>
      </c>
      <c r="C75" s="6">
        <f>+EDITABLE!B80</f>
        <v>1</v>
      </c>
      <c r="D75" s="3" t="str">
        <f>+EDITABLE!D80</f>
        <v>BLANCO</v>
      </c>
      <c r="E75" s="3" t="str">
        <f>+EDITABLE!E80</f>
        <v>VIEWSONIC</v>
      </c>
      <c r="F75" s="3" t="str">
        <f>+EDITABLE!F80</f>
        <v>PA503S</v>
      </c>
      <c r="G75" s="5" t="str">
        <f>+EDITABLE!G80</f>
        <v>VOR231704347</v>
      </c>
      <c r="H75" s="3" t="str">
        <f>+EDITABLE!H80</f>
        <v>AULA-E1</v>
      </c>
      <c r="I75" s="3" t="str">
        <f>+EDITABLE!I80</f>
        <v>BUENO</v>
      </c>
      <c r="J75" s="3" t="str">
        <f>+EDITABLE!J80</f>
        <v>CON PEDESTAL, CABLE HDMI DE 15 m. Y CABLE DE ENERGIA</v>
      </c>
      <c r="K75" s="2">
        <f>+EDITABLE!K80</f>
        <v>582.72</v>
      </c>
      <c r="L75" s="24">
        <f>+EDITABLE!L80</f>
        <v>45288</v>
      </c>
    </row>
    <row r="76" spans="1:13" x14ac:dyDescent="0.25">
      <c r="A76" s="3" t="str">
        <f>CONCATENATE(+EDITABLE!C81," ",H76)</f>
        <v>CONTROL PROYECTOR AULA-E1</v>
      </c>
      <c r="B76" s="3" t="str">
        <f>+EDITABLE!A81</f>
        <v>CONTAULA-E1</v>
      </c>
      <c r="C76" s="6">
        <f>+EDITABLE!B81</f>
        <v>1</v>
      </c>
      <c r="D76" s="3" t="str">
        <f>+EDITABLE!D81</f>
        <v>BLANCO</v>
      </c>
      <c r="E76" s="3" t="str">
        <f>+EDITABLE!E81</f>
        <v>VIEWSONIC</v>
      </c>
      <c r="F76" s="3" t="str">
        <f>+EDITABLE!F81</f>
        <v>Q-3101</v>
      </c>
      <c r="G76" s="5" t="str">
        <f>+EDITABLE!G81</f>
        <v>S/S</v>
      </c>
      <c r="H76" s="3" t="str">
        <f>+EDITABLE!H81</f>
        <v>AULA-E1</v>
      </c>
      <c r="I76" s="3" t="str">
        <f>+EDITABLE!I81</f>
        <v>BUENO</v>
      </c>
      <c r="J76" s="3" t="str">
        <f>+EDITABLE!J81</f>
        <v>2 PILAS AAA</v>
      </c>
      <c r="K76" s="2">
        <f>+EDITABLE!K81</f>
        <v>10</v>
      </c>
      <c r="L76" s="24">
        <f>+EDITABLE!L81</f>
        <v>45288</v>
      </c>
    </row>
    <row r="77" spans="1:13" x14ac:dyDescent="0.25">
      <c r="A77" s="3" t="str">
        <f>CONCATENATE(+EDITABLE!C82," ",H77)</f>
        <v>PARLANTES AULA-E1</v>
      </c>
      <c r="B77" s="3" t="str">
        <f>+EDITABLE!A82</f>
        <v>PARLAULA-E1</v>
      </c>
      <c r="C77" s="6">
        <f>+EDITABLE!B82</f>
        <v>1</v>
      </c>
      <c r="D77" s="3" t="str">
        <f>+EDITABLE!D82</f>
        <v>NEGRO</v>
      </c>
      <c r="E77" s="3" t="str">
        <f>+EDITABLE!E82</f>
        <v>GENERICO</v>
      </c>
      <c r="F77" s="3" t="str">
        <f>+EDITABLE!F82</f>
        <v>S/M</v>
      </c>
      <c r="G77" s="5" t="str">
        <f>+EDITABLE!G82</f>
        <v>S/S</v>
      </c>
      <c r="H77" s="3" t="str">
        <f>+EDITABLE!H82</f>
        <v>AULA-E1</v>
      </c>
      <c r="I77" s="3" t="str">
        <f>+EDITABLE!I82</f>
        <v>BUENO</v>
      </c>
      <c r="J77" s="3" t="str">
        <f>+EDITABLE!J82</f>
        <v xml:space="preserve">CON SOPORTE AEREO, CABLE DE SONIO Y CABLE DE ENERGIA, 1 BAJO Y DOS TWITER </v>
      </c>
      <c r="K77" s="2">
        <f>+EDITABLE!K82</f>
        <v>39.200000000000003</v>
      </c>
      <c r="L77" s="24">
        <f>+EDITABLE!L82</f>
        <v>45288</v>
      </c>
    </row>
    <row r="78" spans="1:13" x14ac:dyDescent="0.25">
      <c r="A78" s="3" t="str">
        <f>CONCATENATE(+EDITABLE!C83," ",H78)</f>
        <v>CAMARA VIDEO VIGILANCIA AULA-E1</v>
      </c>
      <c r="B78" s="3" t="str">
        <f>+EDITABLE!A83</f>
        <v>CAMAAULA-E1</v>
      </c>
      <c r="C78" s="6">
        <f>+EDITABLE!B83</f>
        <v>1</v>
      </c>
      <c r="D78" s="3" t="str">
        <f>+EDITABLE!D83</f>
        <v>BLANCO</v>
      </c>
      <c r="E78" s="3" t="str">
        <f>+EDITABLE!E83</f>
        <v>EZVIZ</v>
      </c>
      <c r="F78" s="3" t="str">
        <f>+EDITABLE!F83</f>
        <v>S/M</v>
      </c>
      <c r="G78" s="5" t="str">
        <f>+EDITABLE!G83</f>
        <v>S/S</v>
      </c>
      <c r="H78" s="3" t="str">
        <f>+EDITABLE!H83</f>
        <v>AULA-E1</v>
      </c>
      <c r="I78" s="3" t="str">
        <f>+EDITABLE!I83</f>
        <v>BUENO</v>
      </c>
      <c r="J78" s="3" t="str">
        <f>+EDITABLE!J83</f>
        <v>VISION EN MOVIL GIRATORIA, CON ALARMA, TARGETA MICRO DE 64 GB</v>
      </c>
      <c r="K78" s="2">
        <f>+EDITABLE!K83</f>
        <v>185.45</v>
      </c>
      <c r="L78" s="24">
        <f>+EDITABLE!L83</f>
        <v>45489</v>
      </c>
    </row>
    <row r="79" spans="1:13" x14ac:dyDescent="0.25">
      <c r="A79" s="3" t="str">
        <f>CONCATENATE(+EDITABLE!C84," ",H79)</f>
        <v xml:space="preserve"> 0</v>
      </c>
      <c r="B79" s="3" t="str">
        <f>+EDITABLE!A84</f>
        <v/>
      </c>
      <c r="C79" s="6">
        <f>+EDITABLE!B84</f>
        <v>0</v>
      </c>
      <c r="D79" s="3">
        <f>+EDITABLE!D84</f>
        <v>0</v>
      </c>
      <c r="E79" s="3">
        <f>+EDITABLE!E84</f>
        <v>0</v>
      </c>
      <c r="F79" s="3">
        <f>+EDITABLE!F84</f>
        <v>0</v>
      </c>
      <c r="G79" s="5">
        <f>+EDITABLE!G84</f>
        <v>0</v>
      </c>
      <c r="H79" s="3">
        <f>+EDITABLE!H84</f>
        <v>0</v>
      </c>
      <c r="I79" s="3">
        <f>+EDITABLE!I84</f>
        <v>0</v>
      </c>
      <c r="J79" s="3">
        <f>+EDITABLE!J84</f>
        <v>0</v>
      </c>
      <c r="K79" s="2">
        <f>+EDITABLE!K84</f>
        <v>0</v>
      </c>
      <c r="L79" s="24">
        <f>+EDITABLE!L84</f>
        <v>0</v>
      </c>
    </row>
    <row r="80" spans="1:13" x14ac:dyDescent="0.25">
      <c r="A80" s="3" t="str">
        <f>CONCATENATE(+EDITABLE!C85," ",H80)</f>
        <v xml:space="preserve"> 0</v>
      </c>
      <c r="B80" s="3" t="str">
        <f>+EDITABLE!A85</f>
        <v/>
      </c>
      <c r="C80" s="6">
        <f>+EDITABLE!B85</f>
        <v>0</v>
      </c>
      <c r="D80" s="3">
        <f>+EDITABLE!D85</f>
        <v>0</v>
      </c>
      <c r="E80" s="3">
        <f>+EDITABLE!E85</f>
        <v>0</v>
      </c>
      <c r="F80" s="3">
        <f>+EDITABLE!F85</f>
        <v>0</v>
      </c>
      <c r="G80" s="5">
        <f>+EDITABLE!G85</f>
        <v>0</v>
      </c>
      <c r="H80" s="3">
        <f>+EDITABLE!H85</f>
        <v>0</v>
      </c>
      <c r="I80" s="3">
        <f>+EDITABLE!I85</f>
        <v>0</v>
      </c>
      <c r="J80" s="3">
        <f>+EDITABLE!J85</f>
        <v>0</v>
      </c>
      <c r="K80" s="2">
        <f>+EDITABLE!K85</f>
        <v>0</v>
      </c>
      <c r="L80" s="24">
        <f>+EDITABLE!L85</f>
        <v>0</v>
      </c>
    </row>
    <row r="81" spans="1:13" x14ac:dyDescent="0.25">
      <c r="A81" s="3" t="str">
        <f>CONCATENATE(+EDITABLE!C86," ",H81)</f>
        <v xml:space="preserve"> 0</v>
      </c>
      <c r="B81" s="3" t="str">
        <f>+EDITABLE!A86</f>
        <v/>
      </c>
      <c r="C81" s="6">
        <f>+EDITABLE!B86</f>
        <v>0</v>
      </c>
      <c r="D81" s="3">
        <f>+EDITABLE!D86</f>
        <v>0</v>
      </c>
      <c r="E81" s="3">
        <f>+EDITABLE!E86</f>
        <v>0</v>
      </c>
      <c r="F81" s="3">
        <f>+EDITABLE!F86</f>
        <v>0</v>
      </c>
      <c r="G81" s="5">
        <f>+EDITABLE!G86</f>
        <v>0</v>
      </c>
      <c r="H81" s="3">
        <f>+EDITABLE!H86</f>
        <v>0</v>
      </c>
      <c r="I81" s="3">
        <f>+EDITABLE!I86</f>
        <v>0</v>
      </c>
      <c r="J81" s="3">
        <f>+EDITABLE!J86</f>
        <v>0</v>
      </c>
      <c r="K81" s="2">
        <f>+EDITABLE!K86</f>
        <v>0</v>
      </c>
      <c r="L81" s="24">
        <f>+EDITABLE!L86</f>
        <v>0</v>
      </c>
    </row>
    <row r="82" spans="1:13" x14ac:dyDescent="0.25">
      <c r="A82" s="3" t="str">
        <f>CONCATENATE(+EDITABLE!C88," ",H82)</f>
        <v>CPU AULA-E3</v>
      </c>
      <c r="B82" s="3" t="str">
        <f>+EDITABLE!A88</f>
        <v>CPUAULA-E3</v>
      </c>
      <c r="C82" s="6">
        <f>+EDITABLE!B88</f>
        <v>1</v>
      </c>
      <c r="D82" s="3" t="str">
        <f>+EDITABLE!D88</f>
        <v>NEGRO</v>
      </c>
      <c r="E82" s="3" t="str">
        <f>+EDITABLE!E88</f>
        <v>INS</v>
      </c>
      <c r="F82" s="3" t="str">
        <f>+EDITABLE!F88</f>
        <v>GENERICO</v>
      </c>
      <c r="G82" s="5">
        <f>+EDITABLE!G88</f>
        <v>10020122019</v>
      </c>
      <c r="H82" s="3" t="str">
        <f>+EDITABLE!H88</f>
        <v>AULA-E3</v>
      </c>
      <c r="I82" s="3" t="str">
        <f>+EDITABLE!I88</f>
        <v>BUENO</v>
      </c>
      <c r="J82" s="3" t="str">
        <f>+EDITABLE!J88</f>
        <v>WINDOWS 8.1 ENTERPRISE, PROCESADOR: INTEL ® CORE TM i3-9100F CPU, 3.60 GHZ, RAM 4 GB, 64 BITS, INTERNET ALAMBRICO</v>
      </c>
      <c r="K82" s="2">
        <f>+EDITABLE!K88</f>
        <v>250</v>
      </c>
      <c r="L82" s="24">
        <f>+EDITABLE!L88</f>
        <v>45288</v>
      </c>
      <c r="M82">
        <v>7</v>
      </c>
    </row>
    <row r="83" spans="1:13" x14ac:dyDescent="0.25">
      <c r="A83" s="3" t="str">
        <f>CONCATENATE(+EDITABLE!C89," ",H83)</f>
        <v>MOUSE AULA-E3</v>
      </c>
      <c r="B83" s="3" t="str">
        <f>+EDITABLE!A89</f>
        <v>MOUSAULA-E3</v>
      </c>
      <c r="C83" s="6">
        <f>+EDITABLE!B89</f>
        <v>1</v>
      </c>
      <c r="D83" s="3" t="str">
        <f>+EDITABLE!D89</f>
        <v>NEGRO/BLANCO</v>
      </c>
      <c r="E83" s="3" t="str">
        <f>+EDITABLE!E89</f>
        <v>HAVIC</v>
      </c>
      <c r="F83" s="3" t="str">
        <f>+EDITABLE!F89</f>
        <v>HV-M8000</v>
      </c>
      <c r="G83" s="5" t="str">
        <f>+EDITABLE!G89</f>
        <v>MS11M8000XM04762</v>
      </c>
      <c r="H83" s="3" t="str">
        <f>+EDITABLE!H89</f>
        <v>AULA-E3</v>
      </c>
      <c r="I83" s="3" t="str">
        <f>+EDITABLE!I89</f>
        <v>BUENO</v>
      </c>
      <c r="J83" s="3" t="str">
        <f>+EDITABLE!J89</f>
        <v>ALAMBRICO, LED, DISEÑO ERGON+OMICO COMPACTO</v>
      </c>
      <c r="K83" s="2">
        <f>+EDITABLE!K89</f>
        <v>6</v>
      </c>
      <c r="L83" s="24">
        <f>+EDITABLE!L89</f>
        <v>45288</v>
      </c>
    </row>
    <row r="84" spans="1:13" x14ac:dyDescent="0.25">
      <c r="A84" s="3" t="str">
        <f>CONCATENATE(+EDITABLE!C90," ",H84)</f>
        <v>TECLADO AULA-E3</v>
      </c>
      <c r="B84" s="3" t="str">
        <f>+EDITABLE!A90</f>
        <v>TECLAULA-E3</v>
      </c>
      <c r="C84" s="6">
        <f>+EDITABLE!B90</f>
        <v>1</v>
      </c>
      <c r="D84" s="3" t="str">
        <f>+EDITABLE!D90</f>
        <v>NEGRO</v>
      </c>
      <c r="E84" s="3" t="str">
        <f>+EDITABLE!E90</f>
        <v>INS</v>
      </c>
      <c r="F84" s="3" t="str">
        <f>+EDITABLE!F90</f>
        <v>GENERICO</v>
      </c>
      <c r="G84" s="5" t="str">
        <f>+EDITABLE!G90</f>
        <v>420050902802</v>
      </c>
      <c r="H84" s="3" t="str">
        <f>+EDITABLE!H90</f>
        <v>AULA-E3</v>
      </c>
      <c r="I84" s="3" t="str">
        <f>+EDITABLE!I90</f>
        <v>BUENO</v>
      </c>
      <c r="J84" s="3" t="str">
        <f>+EDITABLE!J90</f>
        <v>ALAMBRICO, HERGONÓMICO, CONECTOR USB, CON TECLADO NUMÉRICO</v>
      </c>
      <c r="K84" s="2">
        <f>+EDITABLE!K90</f>
        <v>16.7</v>
      </c>
      <c r="L84" s="24">
        <f>+EDITABLE!L90</f>
        <v>45288</v>
      </c>
    </row>
    <row r="85" spans="1:13" x14ac:dyDescent="0.25">
      <c r="A85" s="3" t="str">
        <f>CONCATENATE(+EDITABLE!C91," ",H85)</f>
        <v>PROYECTOR AULA-E3</v>
      </c>
      <c r="B85" s="3" t="str">
        <f>+EDITABLE!A91</f>
        <v>PROYAULA-E3</v>
      </c>
      <c r="C85" s="6">
        <f>+EDITABLE!B91</f>
        <v>1</v>
      </c>
      <c r="D85" s="3" t="str">
        <f>+EDITABLE!D91</f>
        <v>BLANCO</v>
      </c>
      <c r="E85" s="3" t="str">
        <f>+EDITABLE!E91</f>
        <v>VIEWSONIC</v>
      </c>
      <c r="F85" s="3" t="str">
        <f>+EDITABLE!F91</f>
        <v>PA503S</v>
      </c>
      <c r="G85" s="5" t="str">
        <f>+EDITABLE!G91</f>
        <v>VOR231704317</v>
      </c>
      <c r="H85" s="3" t="str">
        <f>+EDITABLE!H91</f>
        <v>AULA-E3</v>
      </c>
      <c r="I85" s="3" t="str">
        <f>+EDITABLE!I91</f>
        <v>BUENO</v>
      </c>
      <c r="J85" s="3" t="str">
        <f>+EDITABLE!J91</f>
        <v>CON PEDESTAL, CABLE HDMI DE 15 m. Y CABLE DE ENERGIA</v>
      </c>
      <c r="K85" s="2">
        <f>+EDITABLE!K91</f>
        <v>582.72</v>
      </c>
      <c r="L85" s="24">
        <f>+EDITABLE!L91</f>
        <v>45288</v>
      </c>
    </row>
    <row r="86" spans="1:13" x14ac:dyDescent="0.25">
      <c r="A86" s="3" t="str">
        <f>CONCATENATE(+EDITABLE!C92," ",H86)</f>
        <v>CONTROL PROYECTOR AULA-E3</v>
      </c>
      <c r="B86" s="3" t="str">
        <f>+EDITABLE!A92</f>
        <v>CONTAULA-E3</v>
      </c>
      <c r="C86" s="6">
        <f>+EDITABLE!B92</f>
        <v>1</v>
      </c>
      <c r="D86" s="3" t="str">
        <f>+EDITABLE!D92</f>
        <v>BLANCO</v>
      </c>
      <c r="E86" s="3" t="str">
        <f>+EDITABLE!E92</f>
        <v>VIEWSONIC</v>
      </c>
      <c r="F86" s="3" t="str">
        <f>+EDITABLE!F92</f>
        <v>Q-3101</v>
      </c>
      <c r="G86" s="5" t="str">
        <f>+EDITABLE!G92</f>
        <v>S/S</v>
      </c>
      <c r="H86" s="3" t="str">
        <f>+EDITABLE!H92</f>
        <v>AULA-E3</v>
      </c>
      <c r="I86" s="3" t="str">
        <f>+EDITABLE!I92</f>
        <v>BUENO</v>
      </c>
      <c r="J86" s="3" t="str">
        <f>+EDITABLE!J92</f>
        <v>2 PILAS AAA</v>
      </c>
      <c r="K86" s="2">
        <f>+EDITABLE!K92</f>
        <v>10</v>
      </c>
      <c r="L86" s="24">
        <f>+EDITABLE!L92</f>
        <v>45288</v>
      </c>
    </row>
    <row r="87" spans="1:13" x14ac:dyDescent="0.25">
      <c r="A87" s="3" t="str">
        <f>CONCATENATE(+EDITABLE!C93," ",H87)</f>
        <v>PARLANTES AULA-E3</v>
      </c>
      <c r="B87" s="3" t="str">
        <f>+EDITABLE!A93</f>
        <v>PARLAULA-E3</v>
      </c>
      <c r="C87" s="6">
        <f>+EDITABLE!B93</f>
        <v>1</v>
      </c>
      <c r="D87" s="3" t="str">
        <f>+EDITABLE!D93</f>
        <v>NEGRO</v>
      </c>
      <c r="E87" s="3" t="str">
        <f>+EDITABLE!E93</f>
        <v>GENERICO</v>
      </c>
      <c r="F87" s="3" t="str">
        <f>+EDITABLE!F93</f>
        <v>S/M</v>
      </c>
      <c r="G87" s="5" t="str">
        <f>+EDITABLE!G93</f>
        <v>S/S</v>
      </c>
      <c r="H87" s="3" t="str">
        <f>+EDITABLE!H93</f>
        <v>AULA-E3</v>
      </c>
      <c r="I87" s="3" t="str">
        <f>+EDITABLE!I93</f>
        <v>BUENO</v>
      </c>
      <c r="J87" s="3" t="str">
        <f>+EDITABLE!J93</f>
        <v xml:space="preserve">CON SOPORTE AEREO, CABLE DE SONIO Y CABLE DE ENERGIA, 1 BAJO Y DOS TWITER </v>
      </c>
      <c r="K87" s="2">
        <f>+EDITABLE!K93</f>
        <v>39.200000000000003</v>
      </c>
      <c r="L87" s="24">
        <f>+EDITABLE!L93</f>
        <v>45288</v>
      </c>
    </row>
    <row r="88" spans="1:13" x14ac:dyDescent="0.25">
      <c r="A88" s="3" t="str">
        <f>CONCATENATE(+EDITABLE!C94," ",H88)</f>
        <v>CAMARA VIDEO VIGILANCIA AULA-E3</v>
      </c>
      <c r="B88" s="3" t="str">
        <f>+EDITABLE!A94</f>
        <v>CAMAAULA-E3</v>
      </c>
      <c r="C88" s="6">
        <f>+EDITABLE!B94</f>
        <v>1</v>
      </c>
      <c r="D88" s="3" t="str">
        <f>+EDITABLE!D94</f>
        <v>BLANCO</v>
      </c>
      <c r="E88" s="3" t="str">
        <f>+EDITABLE!E94</f>
        <v>HIKVISION</v>
      </c>
      <c r="F88" s="3" t="str">
        <f>+EDITABLE!F94</f>
        <v>S/M</v>
      </c>
      <c r="G88" s="5" t="str">
        <f>+EDITABLE!G94</f>
        <v>S/S</v>
      </c>
      <c r="H88" s="3" t="str">
        <f>+EDITABLE!H94</f>
        <v>AULA-E3</v>
      </c>
      <c r="I88" s="3" t="str">
        <f>+EDITABLE!I94</f>
        <v>BUENO</v>
      </c>
      <c r="J88" s="3" t="str">
        <f>+EDITABLE!J94</f>
        <v>CONECTADA AL DVR Y VISION EN MOVIL Y CUARTO DE RED</v>
      </c>
      <c r="K88" s="2">
        <f>+EDITABLE!K94</f>
        <v>25</v>
      </c>
      <c r="L88" s="24">
        <f>+EDITABLE!L94</f>
        <v>45288</v>
      </c>
    </row>
    <row r="89" spans="1:13" x14ac:dyDescent="0.25">
      <c r="A89" s="3" t="str">
        <f>CONCATENATE(+EDITABLE!C95," ",H89)</f>
        <v xml:space="preserve"> 0</v>
      </c>
      <c r="B89" s="3" t="str">
        <f>+EDITABLE!A95</f>
        <v/>
      </c>
      <c r="C89" s="6">
        <f>+EDITABLE!B95</f>
        <v>0</v>
      </c>
      <c r="D89" s="3">
        <f>+EDITABLE!D95</f>
        <v>0</v>
      </c>
      <c r="E89" s="3">
        <f>+EDITABLE!E95</f>
        <v>0</v>
      </c>
      <c r="F89" s="3">
        <f>+EDITABLE!F95</f>
        <v>0</v>
      </c>
      <c r="G89" s="5">
        <f>+EDITABLE!G95</f>
        <v>0</v>
      </c>
      <c r="H89" s="3">
        <f>+EDITABLE!H95</f>
        <v>0</v>
      </c>
      <c r="I89" s="3">
        <f>+EDITABLE!I95</f>
        <v>0</v>
      </c>
      <c r="J89" s="3">
        <f>+EDITABLE!J95</f>
        <v>0</v>
      </c>
      <c r="K89" s="2">
        <f>+EDITABLE!K95</f>
        <v>0</v>
      </c>
      <c r="L89" s="24">
        <f>+EDITABLE!L95</f>
        <v>0</v>
      </c>
    </row>
    <row r="90" spans="1:13" x14ac:dyDescent="0.25">
      <c r="A90" s="3" t="str">
        <f>CONCATENATE(+EDITABLE!C96," ",H90)</f>
        <v xml:space="preserve"> 0</v>
      </c>
      <c r="B90" s="3" t="str">
        <f>+EDITABLE!A96</f>
        <v/>
      </c>
      <c r="C90" s="6">
        <f>+EDITABLE!B96</f>
        <v>0</v>
      </c>
      <c r="D90" s="3">
        <f>+EDITABLE!D96</f>
        <v>0</v>
      </c>
      <c r="E90" s="3">
        <f>+EDITABLE!E96</f>
        <v>0</v>
      </c>
      <c r="F90" s="3">
        <f>+EDITABLE!F96</f>
        <v>0</v>
      </c>
      <c r="G90" s="5">
        <f>+EDITABLE!G96</f>
        <v>0</v>
      </c>
      <c r="H90" s="3">
        <f>+EDITABLE!H96</f>
        <v>0</v>
      </c>
      <c r="I90" s="3">
        <f>+EDITABLE!I96</f>
        <v>0</v>
      </c>
      <c r="J90" s="3">
        <f>+EDITABLE!J96</f>
        <v>0</v>
      </c>
      <c r="K90" s="2">
        <f>+EDITABLE!K96</f>
        <v>0</v>
      </c>
      <c r="L90" s="24">
        <f>+EDITABLE!L96</f>
        <v>0</v>
      </c>
    </row>
    <row r="91" spans="1:13" x14ac:dyDescent="0.25">
      <c r="A91" s="3" t="str">
        <f>CONCATENATE(+EDITABLE!C97," ",H91)</f>
        <v xml:space="preserve"> 0</v>
      </c>
      <c r="B91" s="3" t="str">
        <f>+EDITABLE!A97</f>
        <v/>
      </c>
      <c r="C91" s="6">
        <f>+EDITABLE!B97</f>
        <v>0</v>
      </c>
      <c r="D91" s="3">
        <f>+EDITABLE!D97</f>
        <v>0</v>
      </c>
      <c r="E91" s="3">
        <f>+EDITABLE!E97</f>
        <v>0</v>
      </c>
      <c r="F91" s="3">
        <f>+EDITABLE!F97</f>
        <v>0</v>
      </c>
      <c r="G91" s="5">
        <f>+EDITABLE!G97</f>
        <v>0</v>
      </c>
      <c r="H91" s="3">
        <f>+EDITABLE!H97</f>
        <v>0</v>
      </c>
      <c r="I91" s="3">
        <f>+EDITABLE!I97</f>
        <v>0</v>
      </c>
      <c r="J91" s="3">
        <f>+EDITABLE!J97</f>
        <v>0</v>
      </c>
      <c r="K91" s="2">
        <f>+EDITABLE!K97</f>
        <v>0</v>
      </c>
      <c r="L91" s="24">
        <f>+EDITABLE!L97</f>
        <v>0</v>
      </c>
    </row>
    <row r="92" spans="1:13" x14ac:dyDescent="0.25">
      <c r="A92" s="3" t="str">
        <f>CONCATENATE(+EDITABLE!C99," ",H92)</f>
        <v>CAMARA VIDEO VIGILANCIA SALON DE ACTOS</v>
      </c>
      <c r="B92" s="3" t="str">
        <f>+EDITABLE!A99</f>
        <v>CAMASALON DE</v>
      </c>
      <c r="C92" s="6">
        <f>+EDITABLE!B99</f>
        <v>1</v>
      </c>
      <c r="D92" s="3" t="str">
        <f>+EDITABLE!D99</f>
        <v>BLANCO</v>
      </c>
      <c r="E92" s="3" t="str">
        <f>+EDITABLE!E99</f>
        <v>GENERICA</v>
      </c>
      <c r="F92" s="3" t="str">
        <f>+EDITABLE!F99</f>
        <v>GENERICO</v>
      </c>
      <c r="G92" s="5" t="str">
        <f>+EDITABLE!G99</f>
        <v>GENERICA</v>
      </c>
      <c r="H92" s="3" t="str">
        <f>+EDITABLE!H99</f>
        <v>SALON DE ACTOS</v>
      </c>
      <c r="I92" s="3" t="str">
        <f>+EDITABLE!I99</f>
        <v>BUENO</v>
      </c>
      <c r="J92" s="3" t="str">
        <f>+EDITABLE!J99</f>
        <v>VISION EN MOVIL GIRATORIA, CON ALARMA</v>
      </c>
      <c r="K92" s="2">
        <f>+EDITABLE!K99</f>
        <v>25</v>
      </c>
      <c r="L92" s="24">
        <f>+EDITABLE!L99</f>
        <v>44841</v>
      </c>
      <c r="M92">
        <v>8</v>
      </c>
    </row>
    <row r="93" spans="1:13" x14ac:dyDescent="0.25">
      <c r="A93" s="3" t="str">
        <f>CONCATENATE(+EDITABLE!C100," ",H93)</f>
        <v>MODEM WIFI SALON DE ACTOS</v>
      </c>
      <c r="B93" s="3" t="str">
        <f>+EDITABLE!A100</f>
        <v>MODESALON DE</v>
      </c>
      <c r="C93" s="6">
        <f>+EDITABLE!B100</f>
        <v>1</v>
      </c>
      <c r="D93" s="3" t="str">
        <f>+EDITABLE!D100</f>
        <v>BLANCO</v>
      </c>
      <c r="E93" s="3" t="str">
        <f>+EDITABLE!E100</f>
        <v>TP-LINK</v>
      </c>
      <c r="F93" s="3" t="str">
        <f>+EDITABLE!F100</f>
        <v>TL-WR841N(ES)</v>
      </c>
      <c r="G93" s="5" t="str">
        <f>+EDITABLE!G100</f>
        <v>220C292002527</v>
      </c>
      <c r="H93" s="3" t="str">
        <f>+EDITABLE!H100</f>
        <v>SALON DE ACTOS</v>
      </c>
      <c r="I93" s="3" t="str">
        <f>+EDITABLE!I100</f>
        <v>BUENO</v>
      </c>
      <c r="J93" s="3" t="str">
        <f>+EDITABLE!J100</f>
        <v>DOS ANTENAS, 5 PUERTOS RJ45</v>
      </c>
      <c r="K93" s="2">
        <f>+EDITABLE!K100</f>
        <v>80</v>
      </c>
      <c r="L93" s="24">
        <f>+EDITABLE!L100</f>
        <v>44636</v>
      </c>
    </row>
    <row r="94" spans="1:13" x14ac:dyDescent="0.25">
      <c r="A94" s="3" t="str">
        <f>CONCATENATE(+EDITABLE!C101," ",H94)</f>
        <v xml:space="preserve"> 0</v>
      </c>
      <c r="B94" s="3" t="str">
        <f>+EDITABLE!A101</f>
        <v/>
      </c>
      <c r="C94" s="6">
        <f>+EDITABLE!B101</f>
        <v>0</v>
      </c>
      <c r="D94" s="3">
        <f>+EDITABLE!D101</f>
        <v>0</v>
      </c>
      <c r="E94" s="3">
        <f>+EDITABLE!E101</f>
        <v>0</v>
      </c>
      <c r="F94" s="3">
        <f>+EDITABLE!F101</f>
        <v>0</v>
      </c>
      <c r="G94" s="5">
        <f>+EDITABLE!G101</f>
        <v>0</v>
      </c>
      <c r="H94" s="3">
        <f>+EDITABLE!H101</f>
        <v>0</v>
      </c>
      <c r="I94" s="3">
        <f>+EDITABLE!I101</f>
        <v>0</v>
      </c>
      <c r="J94" s="3">
        <f>+EDITABLE!J101</f>
        <v>0</v>
      </c>
      <c r="K94" s="2">
        <f>+EDITABLE!K101</f>
        <v>0</v>
      </c>
      <c r="L94" s="24">
        <f>+EDITABLE!L101</f>
        <v>0</v>
      </c>
    </row>
    <row r="95" spans="1:13" x14ac:dyDescent="0.25">
      <c r="A95" s="3" t="str">
        <f>CONCATENATE(+EDITABLE!C102," ",H95)</f>
        <v xml:space="preserve"> 0</v>
      </c>
      <c r="B95" s="3" t="str">
        <f>+EDITABLE!A102</f>
        <v/>
      </c>
      <c r="C95" s="6">
        <f>+EDITABLE!B102</f>
        <v>0</v>
      </c>
      <c r="D95" s="3">
        <f>+EDITABLE!D102</f>
        <v>0</v>
      </c>
      <c r="E95" s="3">
        <f>+EDITABLE!E102</f>
        <v>0</v>
      </c>
      <c r="F95" s="3">
        <f>+EDITABLE!F102</f>
        <v>0</v>
      </c>
      <c r="G95" s="5">
        <f>+EDITABLE!G102</f>
        <v>0</v>
      </c>
      <c r="H95" s="3">
        <f>+EDITABLE!H102</f>
        <v>0</v>
      </c>
      <c r="I95" s="3">
        <f>+EDITABLE!I102</f>
        <v>0</v>
      </c>
      <c r="J95" s="3">
        <f>+EDITABLE!J102</f>
        <v>0</v>
      </c>
      <c r="K95" s="2">
        <f>+EDITABLE!K102</f>
        <v>0</v>
      </c>
      <c r="L95" s="24">
        <f>+EDITABLE!L102</f>
        <v>0</v>
      </c>
    </row>
    <row r="96" spans="1:13" x14ac:dyDescent="0.25">
      <c r="A96" s="3" t="str">
        <f>CONCATENATE(+EDITABLE!C103," ",H96)</f>
        <v xml:space="preserve"> 0</v>
      </c>
      <c r="B96" s="3" t="str">
        <f>+EDITABLE!A103</f>
        <v/>
      </c>
      <c r="C96" s="6">
        <f>+EDITABLE!B103</f>
        <v>0</v>
      </c>
      <c r="D96" s="3">
        <f>+EDITABLE!D103</f>
        <v>0</v>
      </c>
      <c r="E96" s="3">
        <f>+EDITABLE!E103</f>
        <v>0</v>
      </c>
      <c r="F96" s="3">
        <f>+EDITABLE!F103</f>
        <v>0</v>
      </c>
      <c r="G96" s="5">
        <f>+EDITABLE!G103</f>
        <v>0</v>
      </c>
      <c r="H96" s="3">
        <f>+EDITABLE!H103</f>
        <v>0</v>
      </c>
      <c r="I96" s="3">
        <f>+EDITABLE!I103</f>
        <v>0</v>
      </c>
      <c r="J96" s="3">
        <f>+EDITABLE!J103</f>
        <v>0</v>
      </c>
      <c r="K96" s="2">
        <f>+EDITABLE!K103</f>
        <v>0</v>
      </c>
      <c r="L96" s="24">
        <f>+EDITABLE!L103</f>
        <v>0</v>
      </c>
    </row>
    <row r="97" spans="1:13" x14ac:dyDescent="0.25">
      <c r="A97" s="3" t="str">
        <f>CONCATENATE(+EDITABLE!C105," ",H97)</f>
        <v>MINI CPU NUC PSICOSENSOMÉTRICO 1</v>
      </c>
      <c r="B97" s="3" t="str">
        <f>+EDITABLE!A105</f>
        <v>MINIPSICOSEN</v>
      </c>
      <c r="C97" s="6">
        <f>+EDITABLE!B105</f>
        <v>1</v>
      </c>
      <c r="D97" s="3" t="str">
        <f>+EDITABLE!D105</f>
        <v>NEGRO</v>
      </c>
      <c r="E97" s="3" t="str">
        <f>+EDITABLE!E105</f>
        <v>INTEL</v>
      </c>
      <c r="F97" s="3" t="str">
        <f>+EDITABLE!F105</f>
        <v>G6AY109001VH</v>
      </c>
      <c r="G97" s="5" t="str">
        <f>+EDITABLE!G105</f>
        <v>PROYECT CODE NUC6CAYH</v>
      </c>
      <c r="H97" s="3" t="str">
        <f>+EDITABLE!H105</f>
        <v>PSICOSENSOMÉTRICO 1</v>
      </c>
      <c r="I97" s="3" t="str">
        <f>+EDITABLE!I105</f>
        <v>BUENO</v>
      </c>
      <c r="J97" s="3" t="str">
        <f>+EDITABLE!J105</f>
        <v>CONECTADO TODOS LOS DISPOSITIVOS DEL EQUIPO E INSTALADO EL SOFTWARE PARA PRUEBAS DEL BIOMÉTRICO</v>
      </c>
      <c r="K97" s="2">
        <f>+EDITABLE!K105</f>
        <v>7840</v>
      </c>
      <c r="L97" s="24">
        <f>+EDITABLE!L105</f>
        <v>45342</v>
      </c>
      <c r="M97">
        <v>9</v>
      </c>
    </row>
    <row r="98" spans="1:13" x14ac:dyDescent="0.25">
      <c r="A98" s="3" t="str">
        <f>CONCATENATE(+EDITABLE!C106," ",H98)</f>
        <v>MONITOR PSICOSENSOMÉTRICO 1</v>
      </c>
      <c r="B98" s="3" t="str">
        <f>+EDITABLE!A106</f>
        <v>MONIPSICOSEN</v>
      </c>
      <c r="C98" s="6">
        <f>+EDITABLE!B106</f>
        <v>1</v>
      </c>
      <c r="D98" s="3" t="str">
        <f>+EDITABLE!D106</f>
        <v>NEGRO</v>
      </c>
      <c r="E98" s="3" t="str">
        <f>+EDITABLE!E106</f>
        <v>LG</v>
      </c>
      <c r="F98" s="3" t="str">
        <f>+EDITABLE!F106</f>
        <v>20MK400H-B</v>
      </c>
      <c r="G98" s="5" t="str">
        <f>+EDITABLE!G106</f>
        <v>012NTCZDP579</v>
      </c>
      <c r="H98" s="3" t="str">
        <f>+EDITABLE!H106</f>
        <v>PSICOSENSOMÉTRICO 1</v>
      </c>
      <c r="I98" s="3" t="str">
        <f>+EDITABLE!I106</f>
        <v>BUENO</v>
      </c>
      <c r="J98" s="3" t="str">
        <f>+EDITABLE!J106</f>
        <v>19" PARA VISUALIZACIÓN DE DATOS DEL USUARIO</v>
      </c>
      <c r="K98" s="2">
        <f>+EDITABLE!K106</f>
        <v>0</v>
      </c>
      <c r="L98" s="24">
        <f>+EDITABLE!L106</f>
        <v>45342</v>
      </c>
    </row>
    <row r="99" spans="1:13" x14ac:dyDescent="0.25">
      <c r="A99" s="3" t="str">
        <f>CONCATENATE(+EDITABLE!C107," ",H99)</f>
        <v>MONITOR PSICOSENSOMÉTRICO 1</v>
      </c>
      <c r="B99" s="3" t="str">
        <f>+EDITABLE!A107</f>
        <v>MONIPSICOSEN</v>
      </c>
      <c r="C99" s="6">
        <f>+EDITABLE!B107</f>
        <v>1</v>
      </c>
      <c r="D99" s="3" t="str">
        <f>+EDITABLE!D107</f>
        <v>NEGRO</v>
      </c>
      <c r="E99" s="3" t="str">
        <f>+EDITABLE!E107</f>
        <v>LG</v>
      </c>
      <c r="F99" s="3" t="str">
        <f>+EDITABLE!F107</f>
        <v>20MK400H-B</v>
      </c>
      <c r="G99" s="5" t="str">
        <f>+EDITABLE!G107</f>
        <v>012NTFADP643</v>
      </c>
      <c r="H99" s="3" t="str">
        <f>+EDITABLE!H107</f>
        <v>PSICOSENSOMÉTRICO 1</v>
      </c>
      <c r="I99" s="3" t="str">
        <f>+EDITABLE!I107</f>
        <v>BUENO</v>
      </c>
      <c r="J99" s="3" t="str">
        <f>+EDITABLE!J107</f>
        <v>19" PARA VISUALIZACIÓN DE DATOS DEL EXAMINADOR</v>
      </c>
      <c r="K99" s="2">
        <f>+EDITABLE!K107</f>
        <v>0</v>
      </c>
      <c r="L99" s="24">
        <f>+EDITABLE!L107</f>
        <v>45342</v>
      </c>
    </row>
    <row r="100" spans="1:13" x14ac:dyDescent="0.25">
      <c r="A100" s="3" t="str">
        <f>CONCATENATE(+EDITABLE!C108," ",H100)</f>
        <v>MOUSE PSICOSENSOMÉTRICO 1</v>
      </c>
      <c r="B100" s="3" t="str">
        <f>+EDITABLE!A108</f>
        <v>MOUSPSICOSEN</v>
      </c>
      <c r="C100" s="6">
        <f>+EDITABLE!B108</f>
        <v>1</v>
      </c>
      <c r="D100" s="3" t="str">
        <f>+EDITABLE!D108</f>
        <v>NEGRO</v>
      </c>
      <c r="E100" s="3" t="str">
        <f>+EDITABLE!E108</f>
        <v>QUASAD</v>
      </c>
      <c r="F100" s="3" t="str">
        <f>+EDITABLE!F108</f>
        <v>QKM-5100G</v>
      </c>
      <c r="G100" s="5" t="str">
        <f>+EDITABLE!G108</f>
        <v>GENÉRICO</v>
      </c>
      <c r="H100" s="3" t="str">
        <f>+EDITABLE!H108</f>
        <v>PSICOSENSOMÉTRICO 1</v>
      </c>
      <c r="I100" s="3" t="str">
        <f>+EDITABLE!I108</f>
        <v>BUENO</v>
      </c>
      <c r="J100" s="3" t="str">
        <f>+EDITABLE!J108</f>
        <v>MOUSE WIRELESS 1.5V, INALAMBRICO</v>
      </c>
      <c r="K100" s="2">
        <f>+EDITABLE!K108</f>
        <v>0</v>
      </c>
      <c r="L100" s="24">
        <f>+EDITABLE!L108</f>
        <v>45342</v>
      </c>
    </row>
    <row r="101" spans="1:13" x14ac:dyDescent="0.25">
      <c r="A101" s="3" t="str">
        <f>CONCATENATE(+EDITABLE!C109," ",H101)</f>
        <v>HUB USB PSICOSENSOMÉTRICO 1</v>
      </c>
      <c r="B101" s="3" t="str">
        <f>+EDITABLE!A109</f>
        <v>HUB PSICOSEN</v>
      </c>
      <c r="C101" s="6">
        <f>+EDITABLE!B109</f>
        <v>1</v>
      </c>
      <c r="D101" s="3" t="str">
        <f>+EDITABLE!D109</f>
        <v>BLANCO</v>
      </c>
      <c r="E101" s="3" t="str">
        <f>+EDITABLE!E109</f>
        <v>INS</v>
      </c>
      <c r="F101" s="3" t="str">
        <f>+EDITABLE!F109</f>
        <v>GENÉRICO</v>
      </c>
      <c r="G101" s="5" t="str">
        <f>+EDITABLE!G109</f>
        <v>GENÉRICO</v>
      </c>
      <c r="H101" s="3" t="str">
        <f>+EDITABLE!H109</f>
        <v>PSICOSENSOMÉTRICO 1</v>
      </c>
      <c r="I101" s="3" t="str">
        <f>+EDITABLE!I109</f>
        <v>BUENO</v>
      </c>
      <c r="J101" s="3" t="str">
        <f>+EDITABLE!J109</f>
        <v>DOS PUERTOS HABILITADOS</v>
      </c>
      <c r="K101" s="2">
        <f>+EDITABLE!K109</f>
        <v>0</v>
      </c>
      <c r="L101" s="24">
        <f>+EDITABLE!L109</f>
        <v>45342</v>
      </c>
    </row>
    <row r="102" spans="1:13" x14ac:dyDescent="0.25">
      <c r="A102" s="3" t="str">
        <f>CONCATENATE(+EDITABLE!C110," ",H102)</f>
        <v>REGULADOR DE VOLTAJE PSICOSENSOMÉTRICO 1</v>
      </c>
      <c r="B102" s="3" t="str">
        <f>+EDITABLE!A110</f>
        <v>REGUPSICOSEN</v>
      </c>
      <c r="C102" s="6">
        <f>+EDITABLE!B110</f>
        <v>1</v>
      </c>
      <c r="D102" s="3" t="str">
        <f>+EDITABLE!D110</f>
        <v>NEGRO</v>
      </c>
      <c r="E102" s="3" t="str">
        <f>+EDITABLE!E110</f>
        <v>SPEEDMEEN</v>
      </c>
      <c r="F102" s="3" t="str">
        <f>+EDITABLE!F110</f>
        <v>SMREG 1200W</v>
      </c>
      <c r="G102" s="5" t="str">
        <f>+EDITABLE!G110</f>
        <v>20REG1200021022</v>
      </c>
      <c r="H102" s="3" t="str">
        <f>+EDITABLE!H110</f>
        <v>PSICOSENSOMÉTRICO 1</v>
      </c>
      <c r="I102" s="3" t="str">
        <f>+EDITABLE!I110</f>
        <v>BUENO</v>
      </c>
      <c r="J102" s="3" t="str">
        <f>+EDITABLE!J110</f>
        <v>DE 8 TOMAS, 120V-60HZ Y DOS TOMAS RJ11 PARA TELÉFONO</v>
      </c>
      <c r="K102" s="2">
        <f>+EDITABLE!K110</f>
        <v>0</v>
      </c>
      <c r="L102" s="24">
        <f>+EDITABLE!L110</f>
        <v>45342</v>
      </c>
    </row>
    <row r="103" spans="1:13" x14ac:dyDescent="0.25">
      <c r="A103" s="3" t="str">
        <f>CONCATENATE(+EDITABLE!C111," ",H103)</f>
        <v>TECLADO PSICOSENSOMÉTRICO 1</v>
      </c>
      <c r="B103" s="3" t="str">
        <f>+EDITABLE!A111</f>
        <v>TECLPSICOSEN</v>
      </c>
      <c r="C103" s="6">
        <f>+EDITABLE!B111</f>
        <v>1</v>
      </c>
      <c r="D103" s="3" t="str">
        <f>+EDITABLE!D111</f>
        <v>NEGRO</v>
      </c>
      <c r="E103" s="3" t="str">
        <f>+EDITABLE!E111</f>
        <v>QUASAD</v>
      </c>
      <c r="F103" s="3" t="str">
        <f>+EDITABLE!F111</f>
        <v>QKM-5100G</v>
      </c>
      <c r="G103" s="5" t="str">
        <f>+EDITABLE!G111</f>
        <v>GENERICO</v>
      </c>
      <c r="H103" s="3" t="str">
        <f>+EDITABLE!H111</f>
        <v>PSICOSENSOMÉTRICO 1</v>
      </c>
      <c r="I103" s="3" t="str">
        <f>+EDITABLE!I111</f>
        <v>BUENO</v>
      </c>
      <c r="J103" s="3" t="str">
        <f>+EDITABLE!J111</f>
        <v>TECLADO WIRELESS</v>
      </c>
      <c r="K103" s="2">
        <f>+EDITABLE!K111</f>
        <v>0</v>
      </c>
      <c r="L103" s="24">
        <f>+EDITABLE!L111</f>
        <v>45342</v>
      </c>
    </row>
    <row r="104" spans="1:13" x14ac:dyDescent="0.25">
      <c r="A104" s="3" t="str">
        <f>CONCATENATE(+EDITABLE!C112," ",H104)</f>
        <v>VISIÓMETRO PSICOSENSOMÉTRICO 1</v>
      </c>
      <c r="B104" s="3" t="str">
        <f>+EDITABLE!A112</f>
        <v>VISIPSICOSEN</v>
      </c>
      <c r="C104" s="6">
        <f>+EDITABLE!B112</f>
        <v>1</v>
      </c>
      <c r="D104" s="3" t="str">
        <f>+EDITABLE!D112</f>
        <v>BLANCO-NEGRO</v>
      </c>
      <c r="E104" s="3" t="str">
        <f>+EDITABLE!E112</f>
        <v>AdMRtEST Drive</v>
      </c>
      <c r="F104" s="3" t="str">
        <f>+EDITABLE!F112</f>
        <v>1V2015mm</v>
      </c>
      <c r="G104" s="5" t="str">
        <f>+EDITABLE!G112</f>
        <v>19711983201241</v>
      </c>
      <c r="H104" s="3" t="str">
        <f>+EDITABLE!H112</f>
        <v>PSICOSENSOMÉTRICO 1</v>
      </c>
      <c r="I104" s="3" t="str">
        <f>+EDITABLE!I112</f>
        <v>BUENO</v>
      </c>
      <c r="J104" s="3" t="str">
        <f>+EDITABLE!J112</f>
        <v>PARA EXAMEN VISUAL, CON CABLE DE DATOS</v>
      </c>
      <c r="K104" s="2">
        <f>+EDITABLE!K112</f>
        <v>0</v>
      </c>
      <c r="L104" s="24">
        <f>+EDITABLE!L112</f>
        <v>45342</v>
      </c>
    </row>
    <row r="105" spans="1:13" x14ac:dyDescent="0.25">
      <c r="A105" s="3" t="str">
        <f>CONCATENATE(+EDITABLE!C113," ",H105)</f>
        <v>CONSOLA PSICOSENSOMÉTRICO 1</v>
      </c>
      <c r="B105" s="3" t="str">
        <f>+EDITABLE!A113</f>
        <v>CONSPSICOSEN</v>
      </c>
      <c r="C105" s="6">
        <f>+EDITABLE!B113</f>
        <v>1</v>
      </c>
      <c r="D105" s="3" t="str">
        <f>+EDITABLE!D113</f>
        <v>GRIS-NEGRO</v>
      </c>
      <c r="E105" s="3" t="str">
        <f>+EDITABLE!E113</f>
        <v>AdMRtEST Drive</v>
      </c>
      <c r="F105" s="3" t="str">
        <f>+EDITABLE!F113</f>
        <v>S/M</v>
      </c>
      <c r="G105" s="5" t="str">
        <f>+EDITABLE!G113</f>
        <v>19711983201741</v>
      </c>
      <c r="H105" s="3" t="str">
        <f>+EDITABLE!H113</f>
        <v>PSICOSENSOMÉTRICO 1</v>
      </c>
      <c r="I105" s="3" t="str">
        <f>+EDITABLE!I113</f>
        <v>BUENO</v>
      </c>
      <c r="J105" s="3" t="str">
        <f>+EDITABLE!J113</f>
        <v>PARA PRUEBAS DE MOTRICIDAD Y AUDITIVAS CON 2 CABLES DE DATOS</v>
      </c>
      <c r="K105" s="2">
        <f>+EDITABLE!K113</f>
        <v>0</v>
      </c>
      <c r="L105" s="24">
        <f>+EDITABLE!L113</f>
        <v>45342</v>
      </c>
    </row>
    <row r="106" spans="1:13" x14ac:dyDescent="0.25">
      <c r="A106" s="3" t="str">
        <f>CONCATENATE(+EDITABLE!C114," ",H106)</f>
        <v>PEDALERA PSICOSENSOMÉTRICO 1</v>
      </c>
      <c r="B106" s="3" t="str">
        <f>+EDITABLE!A114</f>
        <v>PEDAPSICOSEN</v>
      </c>
      <c r="C106" s="6">
        <f>+EDITABLE!B114</f>
        <v>1</v>
      </c>
      <c r="D106" s="3" t="str">
        <f>+EDITABLE!D114</f>
        <v>GRIS-AMARILLO</v>
      </c>
      <c r="E106" s="3" t="str">
        <f>+EDITABLE!E114</f>
        <v>AdMRtEST Drive</v>
      </c>
      <c r="F106" s="3" t="str">
        <f>+EDITABLE!F114</f>
        <v>S/M</v>
      </c>
      <c r="G106" s="5" t="str">
        <f>+EDITABLE!G114</f>
        <v>1971983201741</v>
      </c>
      <c r="H106" s="3" t="str">
        <f>+EDITABLE!H114</f>
        <v>PSICOSENSOMÉTRICO 1</v>
      </c>
      <c r="I106" s="3" t="str">
        <f>+EDITABLE!I114</f>
        <v>BUENO</v>
      </c>
      <c r="J106" s="3" t="str">
        <f>+EDITABLE!J114</f>
        <v>PARA PRUEBAS DE MOTRICIDAD, CABLE DE DATOS</v>
      </c>
      <c r="K106" s="2">
        <f>+EDITABLE!K114</f>
        <v>0</v>
      </c>
      <c r="L106" s="24">
        <f>+EDITABLE!L114</f>
        <v>45342</v>
      </c>
    </row>
    <row r="107" spans="1:13" x14ac:dyDescent="0.25">
      <c r="A107" s="3" t="str">
        <f>CONCATENATE(+EDITABLE!C115," ",H107)</f>
        <v>AUDIFONOS PSICOSENSOMÉTRICO 1</v>
      </c>
      <c r="B107" s="3" t="str">
        <f>+EDITABLE!A115</f>
        <v>AUDIPSICOSEN</v>
      </c>
      <c r="C107" s="6">
        <f>+EDITABLE!B115</f>
        <v>1</v>
      </c>
      <c r="D107" s="3" t="str">
        <f>+EDITABLE!D115</f>
        <v>NEGRO</v>
      </c>
      <c r="E107" s="3" t="str">
        <f>+EDITABLE!E115</f>
        <v>AdMRtEST Drive</v>
      </c>
      <c r="F107" s="3" t="str">
        <f>+EDITABLE!F115</f>
        <v>HD280PRO</v>
      </c>
      <c r="G107" s="5" t="str">
        <f>+EDITABLE!G115</f>
        <v>5390</v>
      </c>
      <c r="H107" s="3" t="str">
        <f>+EDITABLE!H115</f>
        <v>PSICOSENSOMÉTRICO 1</v>
      </c>
      <c r="I107" s="3" t="str">
        <f>+EDITABLE!I115</f>
        <v>BUENO</v>
      </c>
      <c r="J107" s="3" t="str">
        <f>+EDITABLE!J115</f>
        <v>PARA PRUEBAS AUDITIVAS, CON  CABLE DE AUDIO</v>
      </c>
      <c r="K107" s="2">
        <f>+EDITABLE!K115</f>
        <v>0</v>
      </c>
      <c r="L107" s="24">
        <f>+EDITABLE!L115</f>
        <v>45342</v>
      </c>
    </row>
    <row r="108" spans="1:13" x14ac:dyDescent="0.25">
      <c r="A108" s="3" t="str">
        <f>CONCATENATE(+EDITABLE!C116," ",H108)</f>
        <v>IMPRESORA PSICOSENSOMÉTRICO 1</v>
      </c>
      <c r="B108" s="3" t="str">
        <f>+EDITABLE!A116</f>
        <v>IMPRPSICOSEN</v>
      </c>
      <c r="C108" s="6">
        <f>+EDITABLE!B116</f>
        <v>1</v>
      </c>
      <c r="D108" s="3" t="str">
        <f>+EDITABLE!D116</f>
        <v>NEGRO</v>
      </c>
      <c r="E108" s="3" t="str">
        <f>+EDITABLE!E116</f>
        <v>EPSON</v>
      </c>
      <c r="F108" s="3" t="str">
        <f>+EDITABLE!F116</f>
        <v>L3110</v>
      </c>
      <c r="G108" s="5" t="str">
        <f>+EDITABLE!G116</f>
        <v>X644665316</v>
      </c>
      <c r="H108" s="3" t="str">
        <f>+EDITABLE!H116</f>
        <v>PSICOSENSOMÉTRICO 1</v>
      </c>
      <c r="I108" s="3" t="str">
        <f>+EDITABLE!I116</f>
        <v>BUENO</v>
      </c>
      <c r="J108" s="3" t="str">
        <f>+EDITABLE!J116</f>
        <v>DE TINTA CONTINUA A COLORES</v>
      </c>
      <c r="K108" s="2">
        <f>+EDITABLE!K116</f>
        <v>0</v>
      </c>
      <c r="L108" s="24">
        <f>+EDITABLE!L116</f>
        <v>45342</v>
      </c>
    </row>
    <row r="109" spans="1:13" x14ac:dyDescent="0.25">
      <c r="A109" s="3" t="str">
        <f>CONCATENATE(+EDITABLE!C117," ",H109)</f>
        <v>CAMARA WEB PSICOSENSOMÉTRICO 1</v>
      </c>
      <c r="B109" s="3" t="str">
        <f>+EDITABLE!A117</f>
        <v>CAMAPSICOSEN</v>
      </c>
      <c r="C109" s="6">
        <f>+EDITABLE!B117</f>
        <v>1</v>
      </c>
      <c r="D109" s="3" t="str">
        <f>+EDITABLE!D117</f>
        <v>ROJA</v>
      </c>
      <c r="E109" s="3" t="str">
        <f>+EDITABLE!E117</f>
        <v>SPEDMEND</v>
      </c>
      <c r="F109" s="3" t="str">
        <f>+EDITABLE!F117</f>
        <v>SM07W159</v>
      </c>
      <c r="G109" s="5" t="str">
        <f>+EDITABLE!G117</f>
        <v>S/S</v>
      </c>
      <c r="H109" s="3" t="str">
        <f>+EDITABLE!H117</f>
        <v>PSICOSENSOMÉTRICO 1</v>
      </c>
      <c r="I109" s="3" t="str">
        <f>+EDITABLE!I117</f>
        <v>BUENO</v>
      </c>
      <c r="J109" s="3" t="str">
        <f>+EDITABLE!J117</f>
        <v>PARA TOMAR LAS FOTOGRAFIAS A LOS EXAMINADOS</v>
      </c>
      <c r="K109" s="2">
        <f>+EDITABLE!K117</f>
        <v>0</v>
      </c>
      <c r="L109" s="24">
        <f>+EDITABLE!L117</f>
        <v>45342</v>
      </c>
    </row>
    <row r="110" spans="1:13" x14ac:dyDescent="0.25">
      <c r="A110" s="3" t="str">
        <f>CONCATENATE(+EDITABLE!C118," ",H110)</f>
        <v>PARLANTES PSICOSENSOMÉTRICO 1</v>
      </c>
      <c r="B110" s="3" t="str">
        <f>+EDITABLE!A118</f>
        <v>PARLPSICOSEN</v>
      </c>
      <c r="C110" s="6">
        <f>+EDITABLE!B118</f>
        <v>1</v>
      </c>
      <c r="D110" s="3" t="str">
        <f>+EDITABLE!D118</f>
        <v>NEGRO</v>
      </c>
      <c r="E110" s="3" t="str">
        <f>+EDITABLE!E118</f>
        <v>KLIP EXTREME</v>
      </c>
      <c r="F110" s="3" t="str">
        <f>+EDITABLE!F118</f>
        <v>KSS-710</v>
      </c>
      <c r="G110" s="5" t="str">
        <f>+EDITABLE!G118</f>
        <v>13-11580</v>
      </c>
      <c r="H110" s="3" t="str">
        <f>+EDITABLE!H118</f>
        <v>PSICOSENSOMÉTRICO 1</v>
      </c>
      <c r="I110" s="3" t="str">
        <f>+EDITABLE!I118</f>
        <v>BUENO</v>
      </c>
      <c r="J110" s="3" t="str">
        <f>+EDITABLE!J118</f>
        <v>CON SOPORTE AEREO, CABLE DE SONIO DE 20 m.</v>
      </c>
      <c r="K110" s="2">
        <f>+EDITABLE!K118</f>
        <v>0</v>
      </c>
      <c r="L110" s="24">
        <f>+EDITABLE!L118</f>
        <v>45342</v>
      </c>
    </row>
    <row r="111" spans="1:13" x14ac:dyDescent="0.25">
      <c r="A111" s="3" t="str">
        <f>CONCATENATE(+EDITABLE!C119," ",H111)</f>
        <v>MODEM WIFI PSICOSENSOMÉTRICO 1</v>
      </c>
      <c r="B111" s="3" t="str">
        <f>+EDITABLE!A119</f>
        <v>MODEPSICOSEN</v>
      </c>
      <c r="C111" s="6">
        <f>+EDITABLE!B119</f>
        <v>1</v>
      </c>
      <c r="D111" s="3" t="str">
        <f>+EDITABLE!D119</f>
        <v>NEGRO</v>
      </c>
      <c r="E111" s="3" t="str">
        <f>+EDITABLE!E119</f>
        <v>MERCUSYS</v>
      </c>
      <c r="F111" s="3" t="str">
        <f>+EDITABLE!F119</f>
        <v>AC12G</v>
      </c>
      <c r="G111" s="5" t="str">
        <f>+EDITABLE!G119</f>
        <v>22132A8003933</v>
      </c>
      <c r="H111" s="3" t="str">
        <f>+EDITABLE!H119</f>
        <v>PSICOSENSOMÉTRICO 1</v>
      </c>
      <c r="I111" s="3" t="str">
        <f>+EDITABLE!I119</f>
        <v>BUENO</v>
      </c>
      <c r="J111" s="3" t="str">
        <f>+EDITABLE!J119</f>
        <v>4 PUERTOS RJ45 Y CABLE DE ENERGIA</v>
      </c>
      <c r="K111" s="2">
        <f>+EDITABLE!K119</f>
        <v>0</v>
      </c>
      <c r="L111" s="24">
        <f>+EDITABLE!L119</f>
        <v>45342</v>
      </c>
    </row>
    <row r="112" spans="1:13" x14ac:dyDescent="0.25">
      <c r="A112" s="3" t="str">
        <f>CONCATENATE(+EDITABLE!C120," ",H112)</f>
        <v xml:space="preserve"> 0</v>
      </c>
      <c r="B112" s="3" t="str">
        <f>+EDITABLE!A120</f>
        <v/>
      </c>
      <c r="C112" s="6">
        <f>+EDITABLE!B120</f>
        <v>0</v>
      </c>
      <c r="D112" s="3">
        <f>+EDITABLE!D120</f>
        <v>0</v>
      </c>
      <c r="E112" s="3">
        <f>+EDITABLE!E120</f>
        <v>0</v>
      </c>
      <c r="F112" s="3">
        <f>+EDITABLE!F120</f>
        <v>0</v>
      </c>
      <c r="G112" s="5">
        <f>+EDITABLE!G120</f>
        <v>0</v>
      </c>
      <c r="H112" s="3">
        <f>+EDITABLE!H120</f>
        <v>0</v>
      </c>
      <c r="I112" s="3">
        <f>+EDITABLE!I120</f>
        <v>0</v>
      </c>
      <c r="J112" s="3">
        <f>+EDITABLE!J120</f>
        <v>0</v>
      </c>
      <c r="K112" s="2">
        <f>+EDITABLE!K120</f>
        <v>0</v>
      </c>
      <c r="L112" s="24">
        <f>+EDITABLE!L120</f>
        <v>0</v>
      </c>
    </row>
    <row r="113" spans="1:13" x14ac:dyDescent="0.25">
      <c r="A113" s="3" t="str">
        <f>CONCATENATE(+EDITABLE!C121," ",H113)</f>
        <v xml:space="preserve"> 0</v>
      </c>
      <c r="B113" s="3" t="str">
        <f>+EDITABLE!A121</f>
        <v/>
      </c>
      <c r="C113" s="6">
        <f>+EDITABLE!B121</f>
        <v>0</v>
      </c>
      <c r="D113" s="3">
        <f>+EDITABLE!D121</f>
        <v>0</v>
      </c>
      <c r="E113" s="3">
        <f>+EDITABLE!E121</f>
        <v>0</v>
      </c>
      <c r="F113" s="3">
        <f>+EDITABLE!F121</f>
        <v>0</v>
      </c>
      <c r="G113" s="5">
        <f>+EDITABLE!G121</f>
        <v>0</v>
      </c>
      <c r="H113" s="3">
        <f>+EDITABLE!H121</f>
        <v>0</v>
      </c>
      <c r="I113" s="3">
        <f>+EDITABLE!I121</f>
        <v>0</v>
      </c>
      <c r="J113" s="3">
        <f>+EDITABLE!J121</f>
        <v>0</v>
      </c>
      <c r="K113" s="2">
        <f>+EDITABLE!K121</f>
        <v>0</v>
      </c>
      <c r="L113" s="24">
        <f>+EDITABLE!L121</f>
        <v>0</v>
      </c>
    </row>
    <row r="114" spans="1:13" x14ac:dyDescent="0.25">
      <c r="A114" s="3" t="str">
        <f>CONCATENATE(+EDITABLE!C122," ",H114)</f>
        <v xml:space="preserve"> 0</v>
      </c>
      <c r="B114" s="3" t="str">
        <f>+EDITABLE!A122</f>
        <v/>
      </c>
      <c r="C114" s="6">
        <f>+EDITABLE!B122</f>
        <v>0</v>
      </c>
      <c r="D114" s="3">
        <f>+EDITABLE!D122</f>
        <v>0</v>
      </c>
      <c r="E114" s="3">
        <f>+EDITABLE!E122</f>
        <v>0</v>
      </c>
      <c r="F114" s="3">
        <f>+EDITABLE!F122</f>
        <v>0</v>
      </c>
      <c r="G114" s="5">
        <f>+EDITABLE!G122</f>
        <v>0</v>
      </c>
      <c r="H114" s="3">
        <f>+EDITABLE!H122</f>
        <v>0</v>
      </c>
      <c r="I114" s="3">
        <f>+EDITABLE!I122</f>
        <v>0</v>
      </c>
      <c r="J114" s="3">
        <f>+EDITABLE!J122</f>
        <v>0</v>
      </c>
      <c r="K114" s="2">
        <f>+EDITABLE!K122</f>
        <v>0</v>
      </c>
      <c r="L114" s="24">
        <f>+EDITABLE!L122</f>
        <v>0</v>
      </c>
    </row>
    <row r="115" spans="1:13" x14ac:dyDescent="0.25">
      <c r="A115" s="3" t="str">
        <f>CONCATENATE(+EDITABLE!C124," ",H115)</f>
        <v>MINI CPU NUC PSICOSENSOMÉTRICO 2</v>
      </c>
      <c r="B115" s="3" t="str">
        <f>+EDITABLE!A124</f>
        <v>MINIPSICOSEN</v>
      </c>
      <c r="C115" s="6">
        <f>+EDITABLE!B124</f>
        <v>1</v>
      </c>
      <c r="D115" s="3" t="str">
        <f>+EDITABLE!D124</f>
        <v>NEGRO</v>
      </c>
      <c r="E115" s="3" t="str">
        <f>+EDITABLE!E124</f>
        <v>INTEL</v>
      </c>
      <c r="F115" s="3" t="str">
        <f>+EDITABLE!F124</f>
        <v>G6AY747007NN</v>
      </c>
      <c r="G115" s="5" t="str">
        <f>+EDITABLE!G124</f>
        <v>PROYECT CODE NUC6CAYH</v>
      </c>
      <c r="H115" s="3" t="str">
        <f>+EDITABLE!H124</f>
        <v>PSICOSENSOMÉTRICO 2</v>
      </c>
      <c r="I115" s="3" t="str">
        <f>+EDITABLE!I124</f>
        <v>BUENO</v>
      </c>
      <c r="J115" s="3" t="str">
        <f>+EDITABLE!J124</f>
        <v>CONECTADO TODOS LOS DISPOSITIVOS DEL EQUIPO E INSTALADO EL SOFTWARE PARA PRUEBAS DEL BIOMÉTRICO</v>
      </c>
      <c r="K115" s="2">
        <f>+EDITABLE!K124</f>
        <v>15680</v>
      </c>
      <c r="L115" s="24">
        <f>+EDITABLE!L124</f>
        <v>45338</v>
      </c>
      <c r="M115">
        <v>10</v>
      </c>
    </row>
    <row r="116" spans="1:13" x14ac:dyDescent="0.25">
      <c r="A116" s="3" t="str">
        <f>CONCATENATE(+EDITABLE!C125," ",H116)</f>
        <v>MONITOR PSICOSENSOMÉTRICO 2</v>
      </c>
      <c r="B116" s="3" t="str">
        <f>+EDITABLE!A125</f>
        <v>MONIPSICOSEN</v>
      </c>
      <c r="C116" s="6">
        <f>+EDITABLE!B125</f>
        <v>1</v>
      </c>
      <c r="D116" s="3" t="str">
        <f>+EDITABLE!D125</f>
        <v>NEGRO</v>
      </c>
      <c r="E116" s="3" t="str">
        <f>+EDITABLE!E125</f>
        <v>SAMSUNG</v>
      </c>
      <c r="F116" s="3" t="str">
        <f>+EDITABLE!F125</f>
        <v>S19A10N</v>
      </c>
      <c r="G116" s="5" t="str">
        <f>+EDITABLE!G125</f>
        <v>ZT14H4LC401997A</v>
      </c>
      <c r="H116" s="3" t="str">
        <f>+EDITABLE!H125</f>
        <v>PSICOSENSOMÉTRICO 2</v>
      </c>
      <c r="I116" s="3" t="str">
        <f>+EDITABLE!I125</f>
        <v>BUENO</v>
      </c>
      <c r="J116" s="3" t="str">
        <f>+EDITABLE!J125</f>
        <v>19" PARA VISUALIZACIÓN DE DATOS DEL USUARIO</v>
      </c>
      <c r="K116" s="2">
        <f>+EDITABLE!K125</f>
        <v>0</v>
      </c>
      <c r="L116" s="24">
        <f>+EDITABLE!L125</f>
        <v>45338</v>
      </c>
    </row>
    <row r="117" spans="1:13" x14ac:dyDescent="0.25">
      <c r="A117" s="3" t="str">
        <f>CONCATENATE(+EDITABLE!C126," ",H117)</f>
        <v>MONITOR PSICOSENSOMÉTRICO 2</v>
      </c>
      <c r="B117" s="3" t="str">
        <f>+EDITABLE!A126</f>
        <v>MONIPSICOSEN</v>
      </c>
      <c r="C117" s="6">
        <f>+EDITABLE!B126</f>
        <v>1</v>
      </c>
      <c r="D117" s="3" t="str">
        <f>+EDITABLE!D126</f>
        <v>NEGRO</v>
      </c>
      <c r="E117" s="3" t="str">
        <f>+EDITABLE!E126</f>
        <v>SAMSUNG</v>
      </c>
      <c r="F117" s="3" t="str">
        <f>+EDITABLE!F126</f>
        <v>S19C150F</v>
      </c>
      <c r="G117" s="5" t="str">
        <f>+EDITABLE!G126</f>
        <v>ZYJ2H4LD712664R</v>
      </c>
      <c r="H117" s="3" t="str">
        <f>+EDITABLE!H126</f>
        <v>PSICOSENSOMÉTRICO 2</v>
      </c>
      <c r="I117" s="3" t="str">
        <f>+EDITABLE!I126</f>
        <v>BUENO</v>
      </c>
      <c r="J117" s="3" t="str">
        <f>+EDITABLE!J126</f>
        <v>19" PARA VISUALIZACIÓN DE DATOS DEL EXAMINADOR</v>
      </c>
      <c r="K117" s="2">
        <f>+EDITABLE!K126</f>
        <v>0</v>
      </c>
      <c r="L117" s="24">
        <f>+EDITABLE!L126</f>
        <v>45338</v>
      </c>
    </row>
    <row r="118" spans="1:13" x14ac:dyDescent="0.25">
      <c r="A118" s="3" t="str">
        <f>CONCATENATE(+EDITABLE!C127," ",H118)</f>
        <v>MOUSE PSICOSENSOMÉTRICO 2</v>
      </c>
      <c r="B118" s="3" t="str">
        <f>+EDITABLE!A127</f>
        <v>MOUSPSICOSEN</v>
      </c>
      <c r="C118" s="6">
        <f>+EDITABLE!B127</f>
        <v>1</v>
      </c>
      <c r="D118" s="3" t="str">
        <f>+EDITABLE!D127</f>
        <v>NEGRO</v>
      </c>
      <c r="E118" s="3" t="str">
        <f>+EDITABLE!E127</f>
        <v>QUASAD</v>
      </c>
      <c r="F118" s="3" t="str">
        <f>+EDITABLE!F127</f>
        <v>QC-4583</v>
      </c>
      <c r="G118" s="5" t="str">
        <f>+EDITABLE!G127</f>
        <v>GENÉRICO</v>
      </c>
      <c r="H118" s="3" t="str">
        <f>+EDITABLE!H127</f>
        <v>PSICOSENSOMÉTRICO 2</v>
      </c>
      <c r="I118" s="3" t="str">
        <f>+EDITABLE!I127</f>
        <v>BUENO</v>
      </c>
      <c r="J118" s="3" t="str">
        <f>+EDITABLE!J127</f>
        <v>MOUSE WIRELESS 1.5V, INALAMBRICO</v>
      </c>
      <c r="K118" s="2">
        <f>+EDITABLE!K127</f>
        <v>0</v>
      </c>
      <c r="L118" s="24">
        <f>+EDITABLE!L127</f>
        <v>45338</v>
      </c>
    </row>
    <row r="119" spans="1:13" x14ac:dyDescent="0.25">
      <c r="A119" s="3" t="str">
        <f>CONCATENATE(+EDITABLE!C128," ",H119)</f>
        <v>HUB USB PSICOSENSOMÉTRICO 2</v>
      </c>
      <c r="B119" s="3" t="str">
        <f>+EDITABLE!A128</f>
        <v>HUB PSICOSEN</v>
      </c>
      <c r="C119" s="6">
        <f>+EDITABLE!B128</f>
        <v>1</v>
      </c>
      <c r="D119" s="3" t="str">
        <f>+EDITABLE!D128</f>
        <v>NEGRO</v>
      </c>
      <c r="E119" s="3" t="str">
        <f>+EDITABLE!E128</f>
        <v>ADWEIXUN</v>
      </c>
      <c r="F119" s="3" t="str">
        <f>+EDITABLE!F128</f>
        <v>GENÉRICO</v>
      </c>
      <c r="G119" s="5" t="str">
        <f>+EDITABLE!G128</f>
        <v>GENÉRICO</v>
      </c>
      <c r="H119" s="3" t="str">
        <f>+EDITABLE!H128</f>
        <v>PSICOSENSOMÉTRICO 2</v>
      </c>
      <c r="I119" s="3" t="str">
        <f>+EDITABLE!I128</f>
        <v>BUENO</v>
      </c>
      <c r="J119" s="3" t="str">
        <f>+EDITABLE!J128</f>
        <v>DOS PUERTOS HABILITADOS</v>
      </c>
      <c r="K119" s="2">
        <f>+EDITABLE!K128</f>
        <v>0</v>
      </c>
      <c r="L119" s="24">
        <f>+EDITABLE!L128</f>
        <v>45338</v>
      </c>
    </row>
    <row r="120" spans="1:13" x14ac:dyDescent="0.25">
      <c r="A120" s="3" t="str">
        <f>CONCATENATE(+EDITABLE!C129," ",H120)</f>
        <v>UPS DE ENERGIA PSICOSENSOMÉTRICO 2</v>
      </c>
      <c r="B120" s="3" t="str">
        <f>+EDITABLE!A129</f>
        <v>UPS PSICOSEN</v>
      </c>
      <c r="C120" s="6">
        <f>+EDITABLE!B129</f>
        <v>1</v>
      </c>
      <c r="D120" s="3" t="str">
        <f>+EDITABLE!D129</f>
        <v>NEGRO</v>
      </c>
      <c r="E120" s="3" t="str">
        <f>+EDITABLE!E129</f>
        <v>APC</v>
      </c>
      <c r="F120" s="3" t="str">
        <f>+EDITABLE!F129</f>
        <v>BV800</v>
      </c>
      <c r="G120" s="5" t="str">
        <f>+EDITABLE!G129</f>
        <v>9B1939A07079</v>
      </c>
      <c r="H120" s="3" t="str">
        <f>+EDITABLE!H129</f>
        <v>PSICOSENSOMÉTRICO 2</v>
      </c>
      <c r="I120" s="3" t="str">
        <f>+EDITABLE!I129</f>
        <v>BUENO</v>
      </c>
      <c r="J120" s="3" t="str">
        <f>+EDITABLE!J129</f>
        <v>DE 6 TOMAS, 120V-60HZ. ACUMULADOR DE ENERGIA X 15min</v>
      </c>
      <c r="K120" s="2">
        <f>+EDITABLE!K129</f>
        <v>0</v>
      </c>
      <c r="L120" s="24">
        <f>+EDITABLE!L129</f>
        <v>45338</v>
      </c>
    </row>
    <row r="121" spans="1:13" x14ac:dyDescent="0.25">
      <c r="A121" s="3" t="str">
        <f>CONCATENATE(+EDITABLE!C130," ",H121)</f>
        <v>TECLADO PSICOSENSOMÉTRICO 2</v>
      </c>
      <c r="B121" s="3" t="str">
        <f>+EDITABLE!A130</f>
        <v>TECLPSICOSEN</v>
      </c>
      <c r="C121" s="6">
        <f>+EDITABLE!B130</f>
        <v>1</v>
      </c>
      <c r="D121" s="3" t="str">
        <f>+EDITABLE!D130</f>
        <v>NEGRO</v>
      </c>
      <c r="E121" s="3" t="str">
        <f>+EDITABLE!E130</f>
        <v>QUASAD</v>
      </c>
      <c r="F121" s="3" t="str">
        <f>+EDITABLE!F130</f>
        <v>QC4583</v>
      </c>
      <c r="G121" s="5" t="str">
        <f>+EDITABLE!G130</f>
        <v>GENERICO</v>
      </c>
      <c r="H121" s="3" t="str">
        <f>+EDITABLE!H130</f>
        <v>PSICOSENSOMÉTRICO 2</v>
      </c>
      <c r="I121" s="3" t="str">
        <f>+EDITABLE!I130</f>
        <v>BUENO</v>
      </c>
      <c r="J121" s="3" t="str">
        <f>+EDITABLE!J130</f>
        <v>TECLADO WIRELESS</v>
      </c>
      <c r="K121" s="2">
        <f>+EDITABLE!K130</f>
        <v>0</v>
      </c>
      <c r="L121" s="24">
        <f>+EDITABLE!L130</f>
        <v>45338</v>
      </c>
    </row>
    <row r="122" spans="1:13" x14ac:dyDescent="0.25">
      <c r="A122" s="3" t="str">
        <f>CONCATENATE(+EDITABLE!C131," ",H122)</f>
        <v>VISIÓMETRO PSICOSENSOMÉTRICO 2</v>
      </c>
      <c r="B122" s="3" t="str">
        <f>+EDITABLE!A131</f>
        <v>VISIPSICOSEN</v>
      </c>
      <c r="C122" s="6">
        <f>+EDITABLE!B131</f>
        <v>1</v>
      </c>
      <c r="D122" s="3" t="str">
        <f>+EDITABLE!D131</f>
        <v>NEGRO</v>
      </c>
      <c r="E122" s="3" t="str">
        <f>+EDITABLE!E131</f>
        <v>AdMRtEST Drive</v>
      </c>
      <c r="F122" s="3" t="str">
        <f>+EDITABLE!F131</f>
        <v>1V2015mm</v>
      </c>
      <c r="G122" s="5" t="str">
        <f>+EDITABLE!G131</f>
        <v>1971198320121</v>
      </c>
      <c r="H122" s="3" t="str">
        <f>+EDITABLE!H131</f>
        <v>PSICOSENSOMÉTRICO 2</v>
      </c>
      <c r="I122" s="3" t="str">
        <f>+EDITABLE!I131</f>
        <v>BUENO</v>
      </c>
      <c r="J122" s="3" t="str">
        <f>+EDITABLE!J131</f>
        <v>PARA EXAMEN VISUAL, CON CABLE DE DATOS</v>
      </c>
      <c r="K122" s="2">
        <f>+EDITABLE!K131</f>
        <v>0</v>
      </c>
      <c r="L122" s="24">
        <f>+EDITABLE!L131</f>
        <v>45338</v>
      </c>
    </row>
    <row r="123" spans="1:13" x14ac:dyDescent="0.25">
      <c r="A123" s="3" t="str">
        <f>CONCATENATE(+EDITABLE!C132," ",H123)</f>
        <v>CONSOLA PSICOSENSOMÉTRICO 2</v>
      </c>
      <c r="B123" s="3" t="str">
        <f>+EDITABLE!A132</f>
        <v>CONSPSICOSEN</v>
      </c>
      <c r="C123" s="6">
        <f>+EDITABLE!B132</f>
        <v>1</v>
      </c>
      <c r="D123" s="3" t="str">
        <f>+EDITABLE!D132</f>
        <v>GRIS-NEGRO</v>
      </c>
      <c r="E123" s="3" t="str">
        <f>+EDITABLE!E132</f>
        <v>AdMRtEST Drive</v>
      </c>
      <c r="F123" s="3" t="str">
        <f>+EDITABLE!F132</f>
        <v>S/M</v>
      </c>
      <c r="G123" s="5" t="str">
        <f>+EDITABLE!G132</f>
        <v>1971198320121</v>
      </c>
      <c r="H123" s="3" t="str">
        <f>+EDITABLE!H132</f>
        <v>PSICOSENSOMÉTRICO 2</v>
      </c>
      <c r="I123" s="3" t="str">
        <f>+EDITABLE!I132</f>
        <v>BUENO</v>
      </c>
      <c r="J123" s="3" t="str">
        <f>+EDITABLE!J132</f>
        <v>PARA PRUEBAS DE MOTRICIDAD Y AUDITIVAS CON 2 CABLES DE DATOS</v>
      </c>
      <c r="K123" s="2">
        <f>+EDITABLE!K132</f>
        <v>0</v>
      </c>
      <c r="L123" s="24">
        <f>+EDITABLE!L132</f>
        <v>45338</v>
      </c>
    </row>
    <row r="124" spans="1:13" x14ac:dyDescent="0.25">
      <c r="A124" s="3" t="str">
        <f>CONCATENATE(+EDITABLE!C133," ",H124)</f>
        <v>PEDALERA PSICOSENSOMÉTRICO 2</v>
      </c>
      <c r="B124" s="3" t="str">
        <f>+EDITABLE!A133</f>
        <v>PEDAPSICOSEN</v>
      </c>
      <c r="C124" s="6">
        <f>+EDITABLE!B133</f>
        <v>1</v>
      </c>
      <c r="D124" s="3" t="str">
        <f>+EDITABLE!D133</f>
        <v>GRIS</v>
      </c>
      <c r="E124" s="3" t="str">
        <f>+EDITABLE!E133</f>
        <v>AdMRtEST Drive</v>
      </c>
      <c r="F124" s="3" t="str">
        <f>+EDITABLE!F133</f>
        <v>S/M</v>
      </c>
      <c r="G124" s="5" t="str">
        <f>+EDITABLE!G133</f>
        <v>1971198320121</v>
      </c>
      <c r="H124" s="3" t="str">
        <f>+EDITABLE!H133</f>
        <v>PSICOSENSOMÉTRICO 2</v>
      </c>
      <c r="I124" s="3" t="str">
        <f>+EDITABLE!I133</f>
        <v>BUENO</v>
      </c>
      <c r="J124" s="3" t="str">
        <f>+EDITABLE!J133</f>
        <v>PARA PRUEBAS DE MOTRICIDAD, CABLE DE DATOS</v>
      </c>
      <c r="K124" s="2">
        <f>+EDITABLE!K133</f>
        <v>0</v>
      </c>
      <c r="L124" s="24">
        <f>+EDITABLE!L133</f>
        <v>45338</v>
      </c>
    </row>
    <row r="125" spans="1:13" x14ac:dyDescent="0.25">
      <c r="A125" s="3" t="str">
        <f>CONCATENATE(+EDITABLE!C134," ",H125)</f>
        <v>AUDIFONOS PSICOSENSOMÉTRICO 2</v>
      </c>
      <c r="B125" s="3" t="str">
        <f>+EDITABLE!A134</f>
        <v>AUDIPSICOSEN</v>
      </c>
      <c r="C125" s="6">
        <f>+EDITABLE!B134</f>
        <v>1</v>
      </c>
      <c r="D125" s="3" t="str">
        <f>+EDITABLE!D134</f>
        <v>NEGRO</v>
      </c>
      <c r="E125" s="3" t="str">
        <f>+EDITABLE!E134</f>
        <v>AdMRtEST Drive</v>
      </c>
      <c r="F125" s="3" t="str">
        <f>+EDITABLE!F134</f>
        <v>HD280PRO</v>
      </c>
      <c r="G125" s="5" t="str">
        <f>+EDITABLE!G134</f>
        <v>4517</v>
      </c>
      <c r="H125" s="3" t="str">
        <f>+EDITABLE!H134</f>
        <v>PSICOSENSOMÉTRICO 2</v>
      </c>
      <c r="I125" s="3" t="str">
        <f>+EDITABLE!I134</f>
        <v>BUENO</v>
      </c>
      <c r="J125" s="3" t="str">
        <f>+EDITABLE!J134</f>
        <v>PARA PRUEBAS AUDITIVAS, CON  CABLE DE AUDIO</v>
      </c>
      <c r="K125" s="2">
        <f>+EDITABLE!K134</f>
        <v>0</v>
      </c>
      <c r="L125" s="24">
        <f>+EDITABLE!L134</f>
        <v>45338</v>
      </c>
    </row>
    <row r="126" spans="1:13" x14ac:dyDescent="0.25">
      <c r="A126" s="3" t="str">
        <f>CONCATENATE(+EDITABLE!C135," ",H126)</f>
        <v>IMPRESORA PSICOSENSOMÉTRICO 2</v>
      </c>
      <c r="B126" s="3" t="str">
        <f>+EDITABLE!A135</f>
        <v>IMPRPSICOSEN</v>
      </c>
      <c r="C126" s="6">
        <f>+EDITABLE!B135</f>
        <v>1</v>
      </c>
      <c r="D126" s="3" t="str">
        <f>+EDITABLE!D135</f>
        <v>NEGRO</v>
      </c>
      <c r="E126" s="3" t="str">
        <f>+EDITABLE!E135</f>
        <v>EPSON</v>
      </c>
      <c r="F126" s="3" t="str">
        <f>+EDITABLE!F135</f>
        <v>L300</v>
      </c>
      <c r="G126" s="5" t="str">
        <f>+EDITABLE!G135</f>
        <v>UNEK001642</v>
      </c>
      <c r="H126" s="3" t="str">
        <f>+EDITABLE!H135</f>
        <v>PSICOSENSOMÉTRICO 2</v>
      </c>
      <c r="I126" s="3" t="str">
        <f>+EDITABLE!I135</f>
        <v>BUENO</v>
      </c>
      <c r="J126" s="3" t="str">
        <f>+EDITABLE!J135</f>
        <v>DE TINTA CONTINUA A COLORES</v>
      </c>
      <c r="K126" s="2">
        <f>+EDITABLE!K135</f>
        <v>0</v>
      </c>
      <c r="L126" s="24">
        <f>+EDITABLE!L135</f>
        <v>45338</v>
      </c>
    </row>
    <row r="127" spans="1:13" x14ac:dyDescent="0.25">
      <c r="A127" s="3" t="str">
        <f>CONCATENATE(+EDITABLE!C136," ",H127)</f>
        <v>CAMARA WEB PSICOSENSOMÉTRICO 2</v>
      </c>
      <c r="B127" s="3" t="str">
        <f>+EDITABLE!A136</f>
        <v>CAMAPSICOSEN</v>
      </c>
      <c r="C127" s="6">
        <f>+EDITABLE!B136</f>
        <v>1</v>
      </c>
      <c r="D127" s="3" t="str">
        <f>+EDITABLE!D136</f>
        <v>GRIS-NEGRA</v>
      </c>
      <c r="E127" s="3" t="str">
        <f>+EDITABLE!E136</f>
        <v>GENIUS</v>
      </c>
      <c r="F127" s="3" t="str">
        <f>+EDITABLE!F136</f>
        <v>S/M</v>
      </c>
      <c r="G127" s="5" t="str">
        <f>+EDITABLE!G136</f>
        <v>S/S</v>
      </c>
      <c r="H127" s="3" t="str">
        <f>+EDITABLE!H136</f>
        <v>PSICOSENSOMÉTRICO 2</v>
      </c>
      <c r="I127" s="3" t="str">
        <f>+EDITABLE!I136</f>
        <v>BUENO</v>
      </c>
      <c r="J127" s="3" t="str">
        <f>+EDITABLE!J136</f>
        <v>PARA TOMAR LAS FOTOGRAFIAS A LOS EXAMINADOS</v>
      </c>
      <c r="K127" s="2">
        <f>+EDITABLE!K136</f>
        <v>0</v>
      </c>
      <c r="L127" s="24">
        <f>+EDITABLE!L136</f>
        <v>45338</v>
      </c>
    </row>
    <row r="128" spans="1:13" x14ac:dyDescent="0.25">
      <c r="A128" s="3" t="str">
        <f>CONCATENATE(+EDITABLE!C137," ",H128)</f>
        <v xml:space="preserve"> 0</v>
      </c>
      <c r="B128" s="3" t="str">
        <f>+EDITABLE!A137</f>
        <v/>
      </c>
      <c r="C128" s="6">
        <f>+EDITABLE!B137</f>
        <v>0</v>
      </c>
      <c r="D128" s="3">
        <f>+EDITABLE!D137</f>
        <v>0</v>
      </c>
      <c r="E128" s="3">
        <f>+EDITABLE!E137</f>
        <v>0</v>
      </c>
      <c r="F128" s="3">
        <f>+EDITABLE!F137</f>
        <v>0</v>
      </c>
      <c r="G128" s="5">
        <f>+EDITABLE!G137</f>
        <v>0</v>
      </c>
      <c r="H128" s="3">
        <f>+EDITABLE!H137</f>
        <v>0</v>
      </c>
      <c r="I128" s="3">
        <f>+EDITABLE!I137</f>
        <v>0</v>
      </c>
      <c r="J128" s="3">
        <f>+EDITABLE!J137</f>
        <v>0</v>
      </c>
      <c r="K128" s="2">
        <f>+EDITABLE!K137</f>
        <v>0</v>
      </c>
      <c r="L128" s="24">
        <f>+EDITABLE!L137</f>
        <v>0</v>
      </c>
    </row>
    <row r="129" spans="1:13" x14ac:dyDescent="0.25">
      <c r="A129" s="3" t="str">
        <f>CONCATENATE(+EDITABLE!C138," ",H129)</f>
        <v xml:space="preserve"> 0</v>
      </c>
      <c r="B129" s="3" t="str">
        <f>+EDITABLE!A138</f>
        <v/>
      </c>
      <c r="C129" s="6">
        <f>+EDITABLE!B138</f>
        <v>0</v>
      </c>
      <c r="D129" s="3">
        <f>+EDITABLE!D138</f>
        <v>0</v>
      </c>
      <c r="E129" s="3">
        <f>+EDITABLE!E138</f>
        <v>0</v>
      </c>
      <c r="F129" s="3">
        <f>+EDITABLE!F138</f>
        <v>0</v>
      </c>
      <c r="G129" s="5">
        <f>+EDITABLE!G138</f>
        <v>0</v>
      </c>
      <c r="H129" s="3">
        <f>+EDITABLE!H138</f>
        <v>0</v>
      </c>
      <c r="I129" s="3">
        <f>+EDITABLE!I138</f>
        <v>0</v>
      </c>
      <c r="J129" s="3">
        <f>+EDITABLE!J138</f>
        <v>0</v>
      </c>
      <c r="K129" s="2">
        <f>+EDITABLE!K138</f>
        <v>0</v>
      </c>
      <c r="L129" s="24">
        <f>+EDITABLE!L138</f>
        <v>0</v>
      </c>
    </row>
    <row r="130" spans="1:13" x14ac:dyDescent="0.25">
      <c r="A130" s="3" t="str">
        <f>CONCATENATE(+EDITABLE!C139," ",H130)</f>
        <v xml:space="preserve"> 0</v>
      </c>
      <c r="B130" s="3" t="str">
        <f>+EDITABLE!A139</f>
        <v/>
      </c>
      <c r="C130" s="6">
        <f>+EDITABLE!B139</f>
        <v>0</v>
      </c>
      <c r="D130" s="3">
        <f>+EDITABLE!D139</f>
        <v>0</v>
      </c>
      <c r="E130" s="3">
        <f>+EDITABLE!E139</f>
        <v>0</v>
      </c>
      <c r="F130" s="3">
        <f>+EDITABLE!F139</f>
        <v>0</v>
      </c>
      <c r="G130" s="5">
        <f>+EDITABLE!G139</f>
        <v>0</v>
      </c>
      <c r="H130" s="3">
        <f>+EDITABLE!H139</f>
        <v>0</v>
      </c>
      <c r="I130" s="3">
        <f>+EDITABLE!I139</f>
        <v>0</v>
      </c>
      <c r="J130" s="3">
        <f>+EDITABLE!J139</f>
        <v>0</v>
      </c>
      <c r="K130" s="2">
        <f>+EDITABLE!K139</f>
        <v>0</v>
      </c>
      <c r="L130" s="24">
        <f>+EDITABLE!L139</f>
        <v>0</v>
      </c>
    </row>
    <row r="131" spans="1:13" x14ac:dyDescent="0.25">
      <c r="A131" s="3" t="str">
        <f>CONCATENATE(+EDITABLE!C141," ",H131)</f>
        <v>COMPUTADOR PORTATIL TESORERÍA</v>
      </c>
      <c r="B131" s="3" t="str">
        <f>+EDITABLE!A141</f>
        <v>COMPTESORERÍ</v>
      </c>
      <c r="C131" s="6">
        <f>+EDITABLE!B141</f>
        <v>1</v>
      </c>
      <c r="D131" s="3" t="str">
        <f>+EDITABLE!D141</f>
        <v>NEGRO</v>
      </c>
      <c r="E131" s="3" t="str">
        <f>+EDITABLE!E141</f>
        <v>DELL</v>
      </c>
      <c r="F131" s="3" t="str">
        <f>+EDITABLE!F141</f>
        <v>INSPIRON 153520</v>
      </c>
      <c r="G131" s="5" t="str">
        <f>+EDITABLE!G141</f>
        <v>S/S</v>
      </c>
      <c r="H131" s="3" t="str">
        <f>+EDITABLE!H141</f>
        <v>TESORERÍA</v>
      </c>
      <c r="I131" s="3" t="str">
        <f>+EDITABLE!I141</f>
        <v>BUENO</v>
      </c>
      <c r="J131" s="3" t="str">
        <f>+EDITABLE!J141</f>
        <v>WINDOWS 11 PRO, PROCESADOR: 11TH GEN INTEL ® CORE TM i5-1135G7, 2.40 GHZ, RAM 8 GB, 64 BITS, INTERNET WIFI Y CABLE, CABLE DE ENERGIA</v>
      </c>
      <c r="K131" s="2">
        <f>+EDITABLE!K141</f>
        <v>565.6</v>
      </c>
      <c r="L131" s="24">
        <f>+EDITABLE!L141</f>
        <v>45288</v>
      </c>
      <c r="M131">
        <v>11</v>
      </c>
    </row>
    <row r="132" spans="1:13" x14ac:dyDescent="0.25">
      <c r="A132" s="3" t="str">
        <f>CONCATENATE(+EDITABLE!C142," ",H132)</f>
        <v>PARLANTES TESORERÍA</v>
      </c>
      <c r="B132" s="3" t="str">
        <f>+EDITABLE!A142</f>
        <v>PARLTESORERÍ</v>
      </c>
      <c r="C132" s="6">
        <f>+EDITABLE!B142</f>
        <v>1</v>
      </c>
      <c r="D132" s="3" t="str">
        <f>+EDITABLE!D142</f>
        <v>NEGRO</v>
      </c>
      <c r="E132" s="3" t="str">
        <f>+EDITABLE!E142</f>
        <v>INS</v>
      </c>
      <c r="F132" s="3" t="str">
        <f>+EDITABLE!F142</f>
        <v>S/M</v>
      </c>
      <c r="G132" s="5" t="str">
        <f>+EDITABLE!G142</f>
        <v>S/S</v>
      </c>
      <c r="H132" s="3" t="str">
        <f>+EDITABLE!H142</f>
        <v>TESORERÍA</v>
      </c>
      <c r="I132" s="3" t="str">
        <f>+EDITABLE!I142</f>
        <v>BUENO</v>
      </c>
      <c r="J132" s="3" t="str">
        <f>+EDITABLE!J142</f>
        <v>CON CABLE DE AUDIO Y ENERGIA, REDONDOS</v>
      </c>
      <c r="K132" s="2">
        <f>+EDITABLE!K142</f>
        <v>15</v>
      </c>
      <c r="L132" s="24">
        <f>+EDITABLE!L142</f>
        <v>44353</v>
      </c>
    </row>
    <row r="133" spans="1:13" x14ac:dyDescent="0.25">
      <c r="A133" s="3" t="str">
        <f>CONCATENATE(+EDITABLE!C143," ",H133)</f>
        <v>IMPRESORA TESORERÍA</v>
      </c>
      <c r="B133" s="3" t="str">
        <f>+EDITABLE!A143</f>
        <v>IMPRTESORERÍ</v>
      </c>
      <c r="C133" s="6">
        <f>+EDITABLE!B143</f>
        <v>1</v>
      </c>
      <c r="D133" s="3" t="str">
        <f>+EDITABLE!D143</f>
        <v>NEGRO</v>
      </c>
      <c r="E133" s="3" t="str">
        <f>+EDITABLE!E143</f>
        <v>EPSON</v>
      </c>
      <c r="F133" s="3" t="str">
        <f>+EDITABLE!F143</f>
        <v>L3150</v>
      </c>
      <c r="G133" s="5" t="str">
        <f>+EDITABLE!G143</f>
        <v>X7GP301960</v>
      </c>
      <c r="H133" s="3" t="str">
        <f>+EDITABLE!H143</f>
        <v>TESORERÍA</v>
      </c>
      <c r="I133" s="3" t="str">
        <f>+EDITABLE!I143</f>
        <v>BUENO</v>
      </c>
      <c r="J133" s="3" t="str">
        <f>+EDITABLE!J143</f>
        <v>CON TINTA CONTINUA A COLORES CABLE DE DATOS Y CABLE DE ENERGIA</v>
      </c>
      <c r="K133" s="2">
        <f>+EDITABLE!K143</f>
        <v>185</v>
      </c>
      <c r="L133" s="24">
        <f>+EDITABLE!L143</f>
        <v>44375</v>
      </c>
    </row>
    <row r="134" spans="1:13" x14ac:dyDescent="0.25">
      <c r="A134" s="3" t="str">
        <f>CONCATENATE(+EDITABLE!C144," ",H134)</f>
        <v>DISCO DURO EXTERNO TESORERÍA</v>
      </c>
      <c r="B134" s="3" t="str">
        <f>+EDITABLE!A144</f>
        <v>DISCTESORERÍ</v>
      </c>
      <c r="C134" s="6">
        <f>+EDITABLE!B144</f>
        <v>1</v>
      </c>
      <c r="D134" s="3" t="str">
        <f>+EDITABLE!D144</f>
        <v>NEGRO</v>
      </c>
      <c r="E134" s="3" t="str">
        <f>+EDITABLE!E144</f>
        <v>CAGATE</v>
      </c>
      <c r="F134" s="3" t="str">
        <f>+EDITABLE!F144</f>
        <v>SRD0NF1</v>
      </c>
      <c r="G134" s="5" t="str">
        <f>+EDITABLE!G144</f>
        <v>NAC59CMO</v>
      </c>
      <c r="H134" s="3" t="str">
        <f>+EDITABLE!H144</f>
        <v>TESORERÍA</v>
      </c>
      <c r="I134" s="3" t="str">
        <f>+EDITABLE!I144</f>
        <v>BUENO</v>
      </c>
      <c r="J134" s="3" t="str">
        <f>+EDITABLE!J144</f>
        <v>1 TERRABIT Y CABLE DE DATOS</v>
      </c>
      <c r="K134" s="2">
        <f>+EDITABLE!K144</f>
        <v>80</v>
      </c>
      <c r="L134" s="24">
        <f>+EDITABLE!L144</f>
        <v>44624</v>
      </c>
    </row>
    <row r="135" spans="1:13" x14ac:dyDescent="0.25">
      <c r="A135" s="3" t="str">
        <f>CONCATENATE(+EDITABLE!C145," ",H135)</f>
        <v>REGULADOR DE VOLTAJE TESORERÍA</v>
      </c>
      <c r="B135" s="3" t="str">
        <f>+EDITABLE!A145</f>
        <v>REGUTESORERÍ</v>
      </c>
      <c r="C135" s="6">
        <f>+EDITABLE!B145</f>
        <v>1</v>
      </c>
      <c r="D135" s="3" t="str">
        <f>+EDITABLE!D145</f>
        <v>NEGRO</v>
      </c>
      <c r="E135" s="3" t="str">
        <f>+EDITABLE!E145</f>
        <v>FORZA</v>
      </c>
      <c r="F135" s="3" t="str">
        <f>+EDITABLE!F145</f>
        <v>FVR-1221USB</v>
      </c>
      <c r="G135" s="5" t="str">
        <f>+EDITABLE!G145</f>
        <v>2405-18637791</v>
      </c>
      <c r="H135" s="3" t="str">
        <f>+EDITABLE!H145</f>
        <v>TESORERÍA</v>
      </c>
      <c r="I135" s="3" t="str">
        <f>+EDITABLE!I145</f>
        <v>BUENO</v>
      </c>
      <c r="J135" s="3" t="str">
        <f>+EDITABLE!J145</f>
        <v>DE 8 TOMAS Y 2 DE USB</v>
      </c>
      <c r="K135" s="2">
        <f>+EDITABLE!K145</f>
        <v>30</v>
      </c>
      <c r="L135" s="24">
        <f>+EDITABLE!L145</f>
        <v>45489</v>
      </c>
    </row>
    <row r="136" spans="1:13" x14ac:dyDescent="0.25">
      <c r="A136" s="3" t="str">
        <f>CONCATENATE(+EDITABLE!C146," ",H136)</f>
        <v>COMPUTADOR PORTATIL TESORERÍA</v>
      </c>
      <c r="B136" s="3" t="str">
        <f>+EDITABLE!A146</f>
        <v>COMPTESORERÍ</v>
      </c>
      <c r="C136" s="6">
        <f>+EDITABLE!B146</f>
        <v>1</v>
      </c>
      <c r="D136" s="3" t="str">
        <f>+EDITABLE!D146</f>
        <v>GRIS</v>
      </c>
      <c r="E136" s="3" t="str">
        <f>+EDITABLE!E146</f>
        <v>HP</v>
      </c>
      <c r="F136" s="3" t="str">
        <f>+EDITABLE!F146</f>
        <v>HP435</v>
      </c>
      <c r="G136" s="5" t="str">
        <f>+EDITABLE!G146</f>
        <v>00194-912-060-753</v>
      </c>
      <c r="H136" s="3" t="str">
        <f>+EDITABLE!H146</f>
        <v>TESORERÍA</v>
      </c>
      <c r="I136" s="3" t="str">
        <f>+EDITABLE!I146</f>
        <v>REGULAR</v>
      </c>
      <c r="J136" s="3" t="str">
        <f>+EDITABLE!J146</f>
        <v>WINDOWS 2009, PROCESADOR: ADM ATHOM (TH) II P360 DUAL-CORE PROCESOR 2.30 GHZ, RAM 2 GB, 64 BITS, INTERNET WIFI Y CABLE</v>
      </c>
      <c r="K136" s="2">
        <f>+EDITABLE!K146</f>
        <v>100</v>
      </c>
      <c r="L136" s="24">
        <f>+EDITABLE!L146</f>
        <v>44222</v>
      </c>
    </row>
    <row r="137" spans="1:13" x14ac:dyDescent="0.25">
      <c r="A137" s="3" t="str">
        <f>CONCATENATE(+EDITABLE!C147," ",H137)</f>
        <v>BASE TELEFÓNICA TESORERÍA</v>
      </c>
      <c r="B137" s="3" t="str">
        <f>+EDITABLE!A147</f>
        <v>BASETESORERÍ</v>
      </c>
      <c r="C137" s="6">
        <f>+EDITABLE!B147</f>
        <v>1</v>
      </c>
      <c r="D137" s="3" t="str">
        <f>+EDITABLE!D147</f>
        <v>NEGRO</v>
      </c>
      <c r="E137" s="3" t="str">
        <f>+EDITABLE!E147</f>
        <v>GRANDSTREAM</v>
      </c>
      <c r="F137" s="3" t="str">
        <f>+EDITABLE!F147</f>
        <v>GRP2601P</v>
      </c>
      <c r="G137" s="5" t="str">
        <f>+EDITABLE!G147</f>
        <v>20EZ41MM70628CE2</v>
      </c>
      <c r="H137" s="3" t="str">
        <f>+EDITABLE!H147</f>
        <v>TESORERÍA</v>
      </c>
      <c r="I137" s="3" t="str">
        <f>+EDITABLE!I147</f>
        <v>BUENO</v>
      </c>
      <c r="J137" s="3" t="str">
        <f>+EDITABLE!J147</f>
        <v>LLAMADAS INTERNAS, CABLE DE CONECCIÓN, CABLE ENERGIA</v>
      </c>
      <c r="K137" s="2">
        <f>+EDITABLE!K147</f>
        <v>20</v>
      </c>
      <c r="L137" s="24">
        <f>+EDITABLE!L147</f>
        <v>44841</v>
      </c>
    </row>
    <row r="138" spans="1:13" x14ac:dyDescent="0.25">
      <c r="A138" s="3" t="str">
        <f>CONCATENATE(+EDITABLE!C148," ",H138)</f>
        <v>ADAPTADOR DE INTERNET USB TESORERÍA</v>
      </c>
      <c r="B138" s="3" t="str">
        <f>+EDITABLE!A148</f>
        <v>ADAPTESORERÍ</v>
      </c>
      <c r="C138" s="6">
        <f>+EDITABLE!B148</f>
        <v>1</v>
      </c>
      <c r="D138" s="3" t="str">
        <f>+EDITABLE!D148</f>
        <v>BLANCO</v>
      </c>
      <c r="E138" s="3" t="str">
        <f>+EDITABLE!E148</f>
        <v>ANERA</v>
      </c>
      <c r="F138" s="3" t="str">
        <f>+EDITABLE!F148</f>
        <v>SB208B</v>
      </c>
      <c r="G138" s="5">
        <f>+EDITABLE!G148</f>
        <v>8152</v>
      </c>
      <c r="H138" s="3" t="str">
        <f>+EDITABLE!H148</f>
        <v>TESORERÍA</v>
      </c>
      <c r="I138" s="3" t="str">
        <f>+EDITABLE!I148</f>
        <v>BUENO</v>
      </c>
      <c r="J138" s="3" t="str">
        <f>+EDITABLE!J148</f>
        <v>CONVIERTE LA SEÑAL DE INTERNET DE USB A RJ45</v>
      </c>
      <c r="K138" s="2">
        <f>+EDITABLE!K148</f>
        <v>10</v>
      </c>
      <c r="L138" s="24">
        <f>+EDITABLE!L148</f>
        <v>45288</v>
      </c>
    </row>
    <row r="139" spans="1:13" x14ac:dyDescent="0.25">
      <c r="A139" s="3" t="str">
        <f>CONCATENATE(+EDITABLE!C149," ",H139)</f>
        <v xml:space="preserve"> 0</v>
      </c>
      <c r="B139" s="3" t="str">
        <f>+EDITABLE!A149</f>
        <v/>
      </c>
      <c r="C139" s="6">
        <f>+EDITABLE!B149</f>
        <v>0</v>
      </c>
      <c r="D139" s="3">
        <f>+EDITABLE!D149</f>
        <v>0</v>
      </c>
      <c r="E139" s="3">
        <f>+EDITABLE!E149</f>
        <v>0</v>
      </c>
      <c r="F139" s="3">
        <f>+EDITABLE!F149</f>
        <v>0</v>
      </c>
      <c r="G139" s="5">
        <f>+EDITABLE!G149</f>
        <v>0</v>
      </c>
      <c r="H139" s="3">
        <f>+EDITABLE!H149</f>
        <v>0</v>
      </c>
      <c r="I139" s="3">
        <f>+EDITABLE!I149</f>
        <v>0</v>
      </c>
      <c r="J139" s="3">
        <f>+EDITABLE!J149</f>
        <v>0</v>
      </c>
      <c r="K139" s="2">
        <f>+EDITABLE!K149</f>
        <v>0</v>
      </c>
      <c r="L139" s="24">
        <f>+EDITABLE!L149</f>
        <v>0</v>
      </c>
    </row>
    <row r="140" spans="1:13" x14ac:dyDescent="0.25">
      <c r="A140" s="3" t="str">
        <f>CONCATENATE(+EDITABLE!C150," ",H140)</f>
        <v xml:space="preserve"> 0</v>
      </c>
      <c r="B140" s="3" t="str">
        <f>+EDITABLE!A150</f>
        <v/>
      </c>
      <c r="C140" s="6">
        <f>+EDITABLE!B150</f>
        <v>0</v>
      </c>
      <c r="D140" s="3">
        <f>+EDITABLE!D150</f>
        <v>0</v>
      </c>
      <c r="E140" s="3">
        <f>+EDITABLE!E150</f>
        <v>0</v>
      </c>
      <c r="F140" s="3">
        <f>+EDITABLE!F150</f>
        <v>0</v>
      </c>
      <c r="G140" s="5">
        <f>+EDITABLE!G150</f>
        <v>0</v>
      </c>
      <c r="H140" s="3">
        <f>+EDITABLE!H150</f>
        <v>0</v>
      </c>
      <c r="I140" s="3">
        <f>+EDITABLE!I150</f>
        <v>0</v>
      </c>
      <c r="J140" s="3">
        <f>+EDITABLE!J150</f>
        <v>0</v>
      </c>
      <c r="K140" s="2">
        <f>+EDITABLE!K150</f>
        <v>0</v>
      </c>
      <c r="L140" s="24">
        <f>+EDITABLE!L150</f>
        <v>0</v>
      </c>
    </row>
    <row r="141" spans="1:13" x14ac:dyDescent="0.25">
      <c r="A141" s="3" t="str">
        <f>CONCATENATE(+EDITABLE!C151," ",H141)</f>
        <v xml:space="preserve"> 0</v>
      </c>
      <c r="B141" s="3" t="str">
        <f>+EDITABLE!A151</f>
        <v/>
      </c>
      <c r="C141" s="6">
        <f>+EDITABLE!B151</f>
        <v>0</v>
      </c>
      <c r="D141" s="3">
        <f>+EDITABLE!D151</f>
        <v>0</v>
      </c>
      <c r="E141" s="3">
        <f>+EDITABLE!E151</f>
        <v>0</v>
      </c>
      <c r="F141" s="3">
        <f>+EDITABLE!F151</f>
        <v>0</v>
      </c>
      <c r="G141" s="5">
        <f>+EDITABLE!G151</f>
        <v>0</v>
      </c>
      <c r="H141" s="3">
        <f>+EDITABLE!H151</f>
        <v>0</v>
      </c>
      <c r="I141" s="3">
        <f>+EDITABLE!I151</f>
        <v>0</v>
      </c>
      <c r="J141" s="3">
        <f>+EDITABLE!J151</f>
        <v>0</v>
      </c>
      <c r="K141" s="2">
        <f>+EDITABLE!K151</f>
        <v>0</v>
      </c>
      <c r="L141" s="24">
        <f>+EDITABLE!L151</f>
        <v>0</v>
      </c>
    </row>
    <row r="142" spans="1:13" x14ac:dyDescent="0.25">
      <c r="A142" s="3" t="str">
        <f>CONCATENATE(+EDITABLE!C153," ",H142)</f>
        <v>COMPUTADOR PORTATIL CONTABILIDAD</v>
      </c>
      <c r="B142" s="3" t="str">
        <f>+EDITABLE!A153</f>
        <v>COMPCONTABIL</v>
      </c>
      <c r="C142" s="6">
        <f>+EDITABLE!B153</f>
        <v>1</v>
      </c>
      <c r="D142" s="3" t="str">
        <f>+EDITABLE!D153</f>
        <v>NEGRO</v>
      </c>
      <c r="E142" s="3" t="str">
        <f>+EDITABLE!E153</f>
        <v>DELL</v>
      </c>
      <c r="F142" s="3" t="str">
        <f>+EDITABLE!F153</f>
        <v>INSPIRON 153520</v>
      </c>
      <c r="G142" s="5" t="str">
        <f>+EDITABLE!G153</f>
        <v>S/S</v>
      </c>
      <c r="H142" s="3" t="str">
        <f>+EDITABLE!H153</f>
        <v>CONTABILIDAD</v>
      </c>
      <c r="I142" s="3" t="str">
        <f>+EDITABLE!I153</f>
        <v>BUENO</v>
      </c>
      <c r="J142" s="3" t="str">
        <f>+EDITABLE!J153</f>
        <v>WINDOWS 11 PRO, PROCESADOR: 11TH GEN INTEL ® CORE TM i5-1135G7, 2.40 GHZ, RAM 8 GB, 64 BITS, INTERNET WIFI Y CABLE, CABLE DE ENERGIA</v>
      </c>
      <c r="K142" s="2">
        <f>+EDITABLE!K153</f>
        <v>565.6</v>
      </c>
      <c r="L142" s="24">
        <f>+EDITABLE!L153</f>
        <v>45288</v>
      </c>
      <c r="M142">
        <v>12</v>
      </c>
    </row>
    <row r="143" spans="1:13" x14ac:dyDescent="0.25">
      <c r="A143" s="3" t="str">
        <f>CONCATENATE(+EDITABLE!C154," ",H143)</f>
        <v>MOUSE CONTABILIDAD</v>
      </c>
      <c r="B143" s="3" t="str">
        <f>+EDITABLE!A154</f>
        <v>MOUSCONTABIL</v>
      </c>
      <c r="C143" s="6">
        <f>+EDITABLE!B154</f>
        <v>1</v>
      </c>
      <c r="D143" s="3" t="str">
        <f>+EDITABLE!D154</f>
        <v>AZUL</v>
      </c>
      <c r="E143" s="3" t="str">
        <f>+EDITABLE!E154</f>
        <v>GENIUS</v>
      </c>
      <c r="F143" s="3" t="str">
        <f>+EDITABLE!F154</f>
        <v>MNDX110</v>
      </c>
      <c r="G143" s="5" t="str">
        <f>+EDITABLE!G154</f>
        <v>S/S</v>
      </c>
      <c r="H143" s="3" t="str">
        <f>+EDITABLE!H154</f>
        <v>CONTABILIDAD</v>
      </c>
      <c r="I143" s="3" t="str">
        <f>+EDITABLE!I154</f>
        <v>BUENO</v>
      </c>
      <c r="J143" s="3" t="str">
        <f>+EDITABLE!J154</f>
        <v>ALAMBRICO, LED, DISEÑO ERGONÓMICO</v>
      </c>
      <c r="K143" s="2">
        <f>+EDITABLE!K154</f>
        <v>6</v>
      </c>
      <c r="L143" s="24">
        <f>+EDITABLE!L154</f>
        <v>44342</v>
      </c>
    </row>
    <row r="144" spans="1:13" x14ac:dyDescent="0.25">
      <c r="A144" s="3" t="str">
        <f>CONCATENATE(+EDITABLE!C155," ",H144)</f>
        <v>IMPRESORA CONTABILIDAD</v>
      </c>
      <c r="B144" s="3" t="str">
        <f>+EDITABLE!A155</f>
        <v>IMPRCONTABIL</v>
      </c>
      <c r="C144" s="6">
        <f>+EDITABLE!B155</f>
        <v>1</v>
      </c>
      <c r="D144" s="3" t="str">
        <f>+EDITABLE!D155</f>
        <v>NEGRO</v>
      </c>
      <c r="E144" s="3" t="str">
        <f>+EDITABLE!E155</f>
        <v>EPSON</v>
      </c>
      <c r="F144" s="3" t="str">
        <f>+EDITABLE!F155</f>
        <v>L3150</v>
      </c>
      <c r="G144" s="5" t="str">
        <f>+EDITABLE!G155</f>
        <v>XTGP301965</v>
      </c>
      <c r="H144" s="3" t="str">
        <f>+EDITABLE!H155</f>
        <v>CONTABILIDAD</v>
      </c>
      <c r="I144" s="3" t="str">
        <f>+EDITABLE!I155</f>
        <v>REGULAR</v>
      </c>
      <c r="J144" s="3" t="str">
        <f>+EDITABLE!J155</f>
        <v>CON TINTA CONTINUA A COLORES CABLE DE DATOS Y CABLE DE ENERGIA</v>
      </c>
      <c r="K144" s="2">
        <f>+EDITABLE!K155</f>
        <v>185</v>
      </c>
      <c r="L144" s="24">
        <f>+EDITABLE!L155</f>
        <v>44375</v>
      </c>
    </row>
    <row r="145" spans="1:13" x14ac:dyDescent="0.25">
      <c r="A145" s="3" t="str">
        <f>CONCATENATE(+EDITABLE!C156," ",H145)</f>
        <v>REGULADOR DE VOLTAJE CONTABILIDAD</v>
      </c>
      <c r="B145" s="3" t="str">
        <f>+EDITABLE!A156</f>
        <v>REGUCONTABIL</v>
      </c>
      <c r="C145" s="6">
        <f>+EDITABLE!B156</f>
        <v>1</v>
      </c>
      <c r="D145" s="3" t="str">
        <f>+EDITABLE!D156</f>
        <v>NEGRO</v>
      </c>
      <c r="E145" s="3" t="str">
        <f>+EDITABLE!E156</f>
        <v>FORZA</v>
      </c>
      <c r="F145" s="3" t="str">
        <f>+EDITABLE!F156</f>
        <v>FVR-1221USB</v>
      </c>
      <c r="G145" s="5" t="str">
        <f>+EDITABLE!G156</f>
        <v>2405-18633471</v>
      </c>
      <c r="H145" s="3" t="str">
        <f>+EDITABLE!H156</f>
        <v>CONTABILIDAD</v>
      </c>
      <c r="I145" s="3" t="str">
        <f>+EDITABLE!I156</f>
        <v>BUENO</v>
      </c>
      <c r="J145" s="3" t="str">
        <f>+EDITABLE!J156</f>
        <v>DE 8 TOMAS Y 2 DE USB</v>
      </c>
      <c r="K145" s="2">
        <f>+EDITABLE!K156</f>
        <v>30</v>
      </c>
      <c r="L145" s="24">
        <f>+EDITABLE!L156</f>
        <v>45489</v>
      </c>
    </row>
    <row r="146" spans="1:13" x14ac:dyDescent="0.25">
      <c r="A146" s="3" t="str">
        <f>CONCATENATE(+EDITABLE!C157," ",H146)</f>
        <v>BASE TELEFÓNICA CONTABILIDAD</v>
      </c>
      <c r="B146" s="3" t="str">
        <f>+EDITABLE!A157</f>
        <v>BASECONTABIL</v>
      </c>
      <c r="C146" s="6">
        <f>+EDITABLE!B157</f>
        <v>1</v>
      </c>
      <c r="D146" s="3" t="str">
        <f>+EDITABLE!D157</f>
        <v>NEGRO</v>
      </c>
      <c r="E146" s="3" t="str">
        <f>+EDITABLE!E157</f>
        <v>GRANDSTREAM</v>
      </c>
      <c r="F146" s="3" t="str">
        <f>+EDITABLE!F157</f>
        <v>GRP2601P</v>
      </c>
      <c r="G146" s="5" t="str">
        <f>+EDITABLE!G157</f>
        <v>20EZ41MM70628CE2</v>
      </c>
      <c r="H146" s="3" t="str">
        <f>+EDITABLE!H157</f>
        <v>CONTABILIDAD</v>
      </c>
      <c r="I146" s="3" t="str">
        <f>+EDITABLE!I157</f>
        <v>BUENO</v>
      </c>
      <c r="J146" s="3" t="str">
        <f>+EDITABLE!J157</f>
        <v>LLAMADAS INTERNAS, CABLE DE CONECCIÓN, CABLE ENERGIA</v>
      </c>
      <c r="K146" s="2">
        <f>+EDITABLE!K157</f>
        <v>20</v>
      </c>
      <c r="L146" s="24">
        <f>+EDITABLE!L157</f>
        <v>44841</v>
      </c>
    </row>
    <row r="147" spans="1:13" x14ac:dyDescent="0.25">
      <c r="A147" s="3" t="str">
        <f>CONCATENATE(+EDITABLE!C158," ",H147)</f>
        <v>ADAPTADOR DE INTERNET USB CONTABILIDAD</v>
      </c>
      <c r="B147" s="3" t="str">
        <f>+EDITABLE!A158</f>
        <v>ADAPCONTABIL</v>
      </c>
      <c r="C147" s="6">
        <f>+EDITABLE!B158</f>
        <v>1</v>
      </c>
      <c r="D147" s="3" t="str">
        <f>+EDITABLE!D158</f>
        <v>BLANCO</v>
      </c>
      <c r="E147" s="3" t="str">
        <f>+EDITABLE!E158</f>
        <v>ANERA</v>
      </c>
      <c r="F147" s="3" t="str">
        <f>+EDITABLE!F158</f>
        <v>SB208B</v>
      </c>
      <c r="G147" s="5">
        <f>+EDITABLE!G158</f>
        <v>8152</v>
      </c>
      <c r="H147" s="3" t="str">
        <f>+EDITABLE!H158</f>
        <v>CONTABILIDAD</v>
      </c>
      <c r="I147" s="3" t="str">
        <f>+EDITABLE!I158</f>
        <v>BUENO</v>
      </c>
      <c r="J147" s="3" t="str">
        <f>+EDITABLE!J158</f>
        <v>CONVIERTE LA SEÑAL DE INTERNET DE USB A RJ45</v>
      </c>
      <c r="K147" s="2">
        <f>+EDITABLE!K158</f>
        <v>10</v>
      </c>
      <c r="L147" s="24">
        <f>+EDITABLE!L158</f>
        <v>45288</v>
      </c>
    </row>
    <row r="148" spans="1:13" x14ac:dyDescent="0.25">
      <c r="A148" s="3" t="str">
        <f>CONCATENATE(+EDITABLE!C159," ",H148)</f>
        <v xml:space="preserve"> 0</v>
      </c>
      <c r="B148" s="3" t="str">
        <f>+EDITABLE!A159</f>
        <v/>
      </c>
      <c r="C148" s="6">
        <f>+EDITABLE!B159</f>
        <v>0</v>
      </c>
      <c r="D148" s="3">
        <f>+EDITABLE!D159</f>
        <v>0</v>
      </c>
      <c r="E148" s="3">
        <f>+EDITABLE!E159</f>
        <v>0</v>
      </c>
      <c r="F148" s="3">
        <f>+EDITABLE!F159</f>
        <v>0</v>
      </c>
      <c r="G148" s="5">
        <f>+EDITABLE!G159</f>
        <v>0</v>
      </c>
      <c r="H148" s="3">
        <f>+EDITABLE!H159</f>
        <v>0</v>
      </c>
      <c r="I148" s="3">
        <f>+EDITABLE!I159</f>
        <v>0</v>
      </c>
      <c r="J148" s="3">
        <f>+EDITABLE!J159</f>
        <v>0</v>
      </c>
      <c r="K148" s="2">
        <f>+EDITABLE!K159</f>
        <v>0</v>
      </c>
      <c r="L148" s="24">
        <f>+EDITABLE!L159</f>
        <v>0</v>
      </c>
    </row>
    <row r="149" spans="1:13" x14ac:dyDescent="0.25">
      <c r="A149" s="3" t="str">
        <f>CONCATENATE(+EDITABLE!C160," ",H149)</f>
        <v xml:space="preserve"> 0</v>
      </c>
      <c r="B149" s="3" t="str">
        <f>+EDITABLE!A160</f>
        <v/>
      </c>
      <c r="C149" s="6">
        <f>+EDITABLE!B160</f>
        <v>0</v>
      </c>
      <c r="D149" s="3">
        <f>+EDITABLE!D160</f>
        <v>0</v>
      </c>
      <c r="E149" s="3">
        <f>+EDITABLE!E160</f>
        <v>0</v>
      </c>
      <c r="F149" s="3">
        <f>+EDITABLE!F160</f>
        <v>0</v>
      </c>
      <c r="G149" s="5">
        <f>+EDITABLE!G160</f>
        <v>0</v>
      </c>
      <c r="H149" s="3">
        <f>+EDITABLE!H160</f>
        <v>0</v>
      </c>
      <c r="I149" s="3">
        <f>+EDITABLE!I160</f>
        <v>0</v>
      </c>
      <c r="J149" s="3">
        <f>+EDITABLE!J160</f>
        <v>0</v>
      </c>
      <c r="K149" s="2">
        <f>+EDITABLE!K160</f>
        <v>0</v>
      </c>
      <c r="L149" s="24">
        <f>+EDITABLE!L160</f>
        <v>0</v>
      </c>
    </row>
    <row r="150" spans="1:13" x14ac:dyDescent="0.25">
      <c r="A150" s="3" t="str">
        <f>CONCATENATE(+EDITABLE!C161," ",H150)</f>
        <v xml:space="preserve"> 0</v>
      </c>
      <c r="B150" s="3" t="str">
        <f>+EDITABLE!A161</f>
        <v/>
      </c>
      <c r="C150" s="6">
        <f>+EDITABLE!B161</f>
        <v>0</v>
      </c>
      <c r="D150" s="3">
        <f>+EDITABLE!D161</f>
        <v>0</v>
      </c>
      <c r="E150" s="3">
        <f>+EDITABLE!E161</f>
        <v>0</v>
      </c>
      <c r="F150" s="3">
        <f>+EDITABLE!F161</f>
        <v>0</v>
      </c>
      <c r="G150" s="5">
        <f>+EDITABLE!G161</f>
        <v>0</v>
      </c>
      <c r="H150" s="3">
        <f>+EDITABLE!H161</f>
        <v>0</v>
      </c>
      <c r="I150" s="3">
        <f>+EDITABLE!I161</f>
        <v>0</v>
      </c>
      <c r="J150" s="3">
        <f>+EDITABLE!J161</f>
        <v>0</v>
      </c>
      <c r="K150" s="2">
        <f>+EDITABLE!K161</f>
        <v>0</v>
      </c>
      <c r="L150" s="24">
        <f>+EDITABLE!L161</f>
        <v>0</v>
      </c>
    </row>
    <row r="151" spans="1:13" x14ac:dyDescent="0.25">
      <c r="A151" s="3" t="str">
        <f>CONCATENATE(+EDITABLE!C163," ",H151)</f>
        <v>COMPUTADOR PORTATIL SECRETARÍA AACC Y ESCUELA</v>
      </c>
      <c r="B151" s="3" t="str">
        <f>+EDITABLE!A163</f>
        <v>COMPSECRETAR</v>
      </c>
      <c r="C151" s="6">
        <f>+EDITABLE!B163</f>
        <v>1</v>
      </c>
      <c r="D151" s="3" t="str">
        <f>+EDITABLE!D163</f>
        <v>NEGRO</v>
      </c>
      <c r="E151" s="3" t="str">
        <f>+EDITABLE!E163</f>
        <v>DELL</v>
      </c>
      <c r="F151" s="3" t="str">
        <f>+EDITABLE!F163</f>
        <v>INSPIRON 153520</v>
      </c>
      <c r="G151" s="5" t="str">
        <f>+EDITABLE!G163</f>
        <v>S/S</v>
      </c>
      <c r="H151" s="3" t="str">
        <f>+EDITABLE!H163</f>
        <v>SECRETARÍA AACC Y ESCUELA</v>
      </c>
      <c r="I151" s="3" t="str">
        <f>+EDITABLE!I163</f>
        <v>BUENO</v>
      </c>
      <c r="J151" s="3" t="str">
        <f>+EDITABLE!J163</f>
        <v>WINDOWS 11 PRO, PROCESADOR: 11TH GEN INTEL ® CORE TM i5-1135G7, 2.40 GHZ, RAM 8 GB, 64 BITS, INTERNET WIFI Y CABLE, CABLE DE ENERGIA</v>
      </c>
      <c r="K151" s="2">
        <f>+EDITABLE!K163</f>
        <v>565.6</v>
      </c>
      <c r="L151" s="24">
        <f>+EDITABLE!L163</f>
        <v>45288</v>
      </c>
      <c r="M151">
        <v>13</v>
      </c>
    </row>
    <row r="152" spans="1:13" x14ac:dyDescent="0.25">
      <c r="A152" s="3" t="str">
        <f>CONCATENATE(+EDITABLE!C164," ",H152)</f>
        <v>COMPUTADOR PORTATIL SECRETARÍA AACC Y ESCUELA</v>
      </c>
      <c r="B152" s="3" t="str">
        <f>+EDITABLE!A164</f>
        <v>COMPSECRETAR</v>
      </c>
      <c r="C152" s="6">
        <f>+EDITABLE!B164</f>
        <v>1</v>
      </c>
      <c r="D152" s="3" t="str">
        <f>+EDITABLE!D164</f>
        <v>NEGRO</v>
      </c>
      <c r="E152" s="3" t="str">
        <f>+EDITABLE!E164</f>
        <v>DELL</v>
      </c>
      <c r="F152" s="3" t="str">
        <f>+EDITABLE!F164</f>
        <v>INSPIRON 153520</v>
      </c>
      <c r="G152" s="5" t="str">
        <f>+EDITABLE!G164</f>
        <v>S/S</v>
      </c>
      <c r="H152" s="3" t="str">
        <f>+EDITABLE!H164</f>
        <v>SECRETARÍA AACC Y ESCUELA</v>
      </c>
      <c r="I152" s="3" t="str">
        <f>+EDITABLE!I164</f>
        <v>BUENO</v>
      </c>
      <c r="J152" s="3" t="str">
        <f>+EDITABLE!J164</f>
        <v>WINDOWS 11 PRO, PROCESADOR: 11TH GEN INTEL ® CORE TM i5-1135G7, 2.40 GHZ, RAM 8 GB, 64 BITS, INTERNET WIFI Y CABLE, CABLE DE ENERGIA</v>
      </c>
      <c r="K152" s="2">
        <f>+EDITABLE!K164</f>
        <v>565.6</v>
      </c>
      <c r="L152" s="24">
        <f>+EDITABLE!L164</f>
        <v>45288</v>
      </c>
    </row>
    <row r="153" spans="1:13" x14ac:dyDescent="0.25">
      <c r="A153" s="3" t="str">
        <f>CONCATENATE(+EDITABLE!C165," ",H153)</f>
        <v>MOUSE SECRETARÍA AACC Y ESCUELA</v>
      </c>
      <c r="B153" s="3" t="str">
        <f>+EDITABLE!A165</f>
        <v>MOUSSECRETAR</v>
      </c>
      <c r="C153" s="6">
        <f>+EDITABLE!B165</f>
        <v>1</v>
      </c>
      <c r="D153" s="3" t="str">
        <f>+EDITABLE!D165</f>
        <v>AZUL</v>
      </c>
      <c r="E153" s="3" t="str">
        <f>+EDITABLE!E165</f>
        <v>GENIUS</v>
      </c>
      <c r="F153" s="3" t="str">
        <f>+EDITABLE!F165</f>
        <v>DX-110</v>
      </c>
      <c r="G153" s="5" t="str">
        <f>+EDITABLE!G165</f>
        <v>S/S</v>
      </c>
      <c r="H153" s="3" t="str">
        <f>+EDITABLE!H165</f>
        <v>SECRETARÍA AACC Y ESCUELA</v>
      </c>
      <c r="I153" s="3" t="str">
        <f>+EDITABLE!I165</f>
        <v>BUENO</v>
      </c>
      <c r="J153" s="3" t="str">
        <f>+EDITABLE!J165</f>
        <v>ALAMBRICO, LED, DISEÑO ERGONÓMICO</v>
      </c>
      <c r="K153" s="2">
        <f>+EDITABLE!K165</f>
        <v>6</v>
      </c>
      <c r="L153" s="24">
        <f>+EDITABLE!L165</f>
        <v>44342</v>
      </c>
    </row>
    <row r="154" spans="1:13" x14ac:dyDescent="0.25">
      <c r="A154" s="3" t="str">
        <f>CONCATENATE(+EDITABLE!C166," ",H154)</f>
        <v>MOUSE SECRETARÍA AACC Y ESCUELA</v>
      </c>
      <c r="B154" s="3" t="str">
        <f>+EDITABLE!A166</f>
        <v>MOUSSECRETAR</v>
      </c>
      <c r="C154" s="6">
        <f>+EDITABLE!B166</f>
        <v>1</v>
      </c>
      <c r="D154" s="3" t="str">
        <f>+EDITABLE!D166</f>
        <v>AZUL</v>
      </c>
      <c r="E154" s="3" t="str">
        <f>+EDITABLE!E166</f>
        <v>GENIUS</v>
      </c>
      <c r="F154" s="3" t="str">
        <f>+EDITABLE!F166</f>
        <v>X2L96548901359</v>
      </c>
      <c r="G154" s="5" t="str">
        <f>+EDITABLE!G166</f>
        <v>S/S</v>
      </c>
      <c r="H154" s="3" t="str">
        <f>+EDITABLE!H166</f>
        <v>SECRETARÍA AACC Y ESCUELA</v>
      </c>
      <c r="I154" s="3" t="str">
        <f>+EDITABLE!I166</f>
        <v>BUENO</v>
      </c>
      <c r="J154" s="3" t="str">
        <f>+EDITABLE!J166</f>
        <v>ALAMBRICO, LED, DISEÑO ERGONÓMICO</v>
      </c>
      <c r="K154" s="2">
        <f>+EDITABLE!K166</f>
        <v>6</v>
      </c>
      <c r="L154" s="24">
        <f>+EDITABLE!L166</f>
        <v>44342</v>
      </c>
    </row>
    <row r="155" spans="1:13" x14ac:dyDescent="0.25">
      <c r="A155" s="3" t="str">
        <f>CONCATENATE(+EDITABLE!C167," ",H155)</f>
        <v>IMPRESORA SECRETARÍA AACC Y ESCUELA</v>
      </c>
      <c r="B155" s="3" t="str">
        <f>+EDITABLE!A167</f>
        <v>IMPRSECRETAR</v>
      </c>
      <c r="C155" s="6">
        <f>+EDITABLE!B167</f>
        <v>1</v>
      </c>
      <c r="D155" s="3" t="str">
        <f>+EDITABLE!D167</f>
        <v>NEGRO</v>
      </c>
      <c r="E155" s="3" t="str">
        <f>+EDITABLE!E167</f>
        <v>EPSON</v>
      </c>
      <c r="F155" s="3" t="str">
        <f>+EDITABLE!F167</f>
        <v>L555</v>
      </c>
      <c r="G155" s="5" t="str">
        <f>+EDITABLE!G167</f>
        <v>S4VY113976</v>
      </c>
      <c r="H155" s="3" t="str">
        <f>+EDITABLE!H167</f>
        <v>SECRETARÍA AACC Y ESCUELA</v>
      </c>
      <c r="I155" s="3" t="str">
        <f>+EDITABLE!I167</f>
        <v>BUENO</v>
      </c>
      <c r="J155" s="3" t="str">
        <f>+EDITABLE!J167</f>
        <v>CON TINTA CONTINUA A COLORES CABLE DE DATOS Y CABLE DE ENERGIA</v>
      </c>
      <c r="K155" s="2">
        <f>+EDITABLE!K167</f>
        <v>200</v>
      </c>
      <c r="L155" s="24">
        <f>+EDITABLE!L167</f>
        <v>44205</v>
      </c>
    </row>
    <row r="156" spans="1:13" x14ac:dyDescent="0.25">
      <c r="A156" s="3" t="str">
        <f>CONCATENATE(+EDITABLE!C168," ",H156)</f>
        <v>PARLANTES SECRETARÍA AACC Y ESCUELA</v>
      </c>
      <c r="B156" s="3" t="str">
        <f>+EDITABLE!A168</f>
        <v>PARLSECRETAR</v>
      </c>
      <c r="C156" s="6">
        <f>+EDITABLE!B168</f>
        <v>1</v>
      </c>
      <c r="D156" s="3" t="str">
        <f>+EDITABLE!D168</f>
        <v>NEGRO/AZUL</v>
      </c>
      <c r="E156" s="3" t="str">
        <f>+EDITABLE!E168</f>
        <v>ALTEK</v>
      </c>
      <c r="F156" s="3" t="str">
        <f>+EDITABLE!F168</f>
        <v>S/M</v>
      </c>
      <c r="G156" s="5" t="str">
        <f>+EDITABLE!G168</f>
        <v>3856130601122</v>
      </c>
      <c r="H156" s="3" t="str">
        <f>+EDITABLE!H168</f>
        <v>SECRETARÍA AACC Y ESCUELA</v>
      </c>
      <c r="I156" s="3" t="str">
        <f>+EDITABLE!I168</f>
        <v>BUENO</v>
      </c>
      <c r="J156" s="3" t="str">
        <f>+EDITABLE!J168</f>
        <v>CON CABLE DE AUDIO Y ENERGIA, REDONDOS</v>
      </c>
      <c r="K156" s="2">
        <f>+EDITABLE!K168</f>
        <v>15</v>
      </c>
      <c r="L156" s="24">
        <f>+EDITABLE!L168</f>
        <v>44342</v>
      </c>
    </row>
    <row r="157" spans="1:13" x14ac:dyDescent="0.25">
      <c r="A157" s="3" t="str">
        <f>CONCATENATE(+EDITABLE!C169," ",H157)</f>
        <v>REGULADOR DE VOLTAJE SECRETARÍA AACC Y ESCUELA</v>
      </c>
      <c r="B157" s="3" t="str">
        <f>+EDITABLE!A169</f>
        <v>REGUSECRETAR</v>
      </c>
      <c r="C157" s="6">
        <f>+EDITABLE!B169</f>
        <v>1</v>
      </c>
      <c r="D157" s="3" t="str">
        <f>+EDITABLE!D169</f>
        <v>NEGRO</v>
      </c>
      <c r="E157" s="3" t="str">
        <f>+EDITABLE!E169</f>
        <v>FORZA</v>
      </c>
      <c r="F157" s="3" t="str">
        <f>+EDITABLE!F169</f>
        <v>FVR-1221USB</v>
      </c>
      <c r="G157" s="5" t="str">
        <f>+EDITABLE!G169</f>
        <v>2405-18633471</v>
      </c>
      <c r="H157" s="3" t="str">
        <f>+EDITABLE!H169</f>
        <v>SECRETARÍA AACC Y ESCUELA</v>
      </c>
      <c r="I157" s="3" t="str">
        <f>+EDITABLE!I169</f>
        <v>BUENO</v>
      </c>
      <c r="J157" s="3" t="str">
        <f>+EDITABLE!J169</f>
        <v>DE 8 TOMAS Y 2 DE USB</v>
      </c>
      <c r="K157" s="2">
        <f>+EDITABLE!K169</f>
        <v>30</v>
      </c>
      <c r="L157" s="24">
        <f>+EDITABLE!L169</f>
        <v>45489</v>
      </c>
    </row>
    <row r="158" spans="1:13" x14ac:dyDescent="0.25">
      <c r="A158" s="3" t="str">
        <f>CONCATENATE(+EDITABLE!C170," ",H158)</f>
        <v>REGULADOR DE VOLTAJE SECRETARÍA AACC Y ESCUELA</v>
      </c>
      <c r="B158" s="3" t="str">
        <f>+EDITABLE!A170</f>
        <v>REGUSECRETAR</v>
      </c>
      <c r="C158" s="6">
        <f>+EDITABLE!B170</f>
        <v>1</v>
      </c>
      <c r="D158" s="3" t="str">
        <f>+EDITABLE!D170</f>
        <v>NEGRO</v>
      </c>
      <c r="E158" s="3" t="str">
        <f>+EDITABLE!E170</f>
        <v>ALTEK</v>
      </c>
      <c r="F158" s="3" t="str">
        <f>+EDITABLE!F170</f>
        <v>AVR 1600SN</v>
      </c>
      <c r="G158" s="5">
        <f>+EDITABLE!G170</f>
        <v>120312598</v>
      </c>
      <c r="H158" s="3" t="str">
        <f>+EDITABLE!H170</f>
        <v>SECRETARÍA AACC Y ESCUELA</v>
      </c>
      <c r="I158" s="3" t="str">
        <f>+EDITABLE!I170</f>
        <v>BUENO</v>
      </c>
      <c r="J158" s="3" t="str">
        <f>+EDITABLE!J170</f>
        <v>DE 8 TOMAS, 200V</v>
      </c>
      <c r="K158" s="2">
        <f>+EDITABLE!K170</f>
        <v>17</v>
      </c>
      <c r="L158" s="24">
        <f>+EDITABLE!L170</f>
        <v>44342</v>
      </c>
    </row>
    <row r="159" spans="1:13" x14ac:dyDescent="0.25">
      <c r="A159" s="3" t="str">
        <f>CONCATENATE(+EDITABLE!C171," ",H159)</f>
        <v>REGULADOR DE VOLTAJE SECRETARÍA AACC Y ESCUELA</v>
      </c>
      <c r="B159" s="3" t="str">
        <f>+EDITABLE!A171</f>
        <v>REGUSECRETAR</v>
      </c>
      <c r="C159" s="6">
        <f>+EDITABLE!B171</f>
        <v>1</v>
      </c>
      <c r="D159" s="3" t="str">
        <f>+EDITABLE!D171</f>
        <v>NEGRO</v>
      </c>
      <c r="E159" s="3" t="str">
        <f>+EDITABLE!E171</f>
        <v>ALTEK</v>
      </c>
      <c r="F159" s="3" t="str">
        <f>+EDITABLE!F171</f>
        <v>AVR 1600SN</v>
      </c>
      <c r="G159" s="5">
        <f>+EDITABLE!G171</f>
        <v>120312486</v>
      </c>
      <c r="H159" s="3" t="str">
        <f>+EDITABLE!H171</f>
        <v>SECRETARÍA AACC Y ESCUELA</v>
      </c>
      <c r="I159" s="3" t="str">
        <f>+EDITABLE!I171</f>
        <v>BUENO</v>
      </c>
      <c r="J159" s="3" t="str">
        <f>+EDITABLE!J171</f>
        <v>DE 8 TOMAS, 200V</v>
      </c>
      <c r="K159" s="2">
        <f>+EDITABLE!K171</f>
        <v>17</v>
      </c>
      <c r="L159" s="24">
        <f>+EDITABLE!L171</f>
        <v>44342</v>
      </c>
    </row>
    <row r="160" spans="1:13" x14ac:dyDescent="0.25">
      <c r="A160" s="3" t="str">
        <f>CONCATENATE(+EDITABLE!C172," ",H160)</f>
        <v>BASE TELEFÓNICA SECRETARÍA AACC Y ESCUELA</v>
      </c>
      <c r="B160" s="3" t="str">
        <f>+EDITABLE!A172</f>
        <v>BASESECRETAR</v>
      </c>
      <c r="C160" s="6">
        <f>+EDITABLE!B172</f>
        <v>1</v>
      </c>
      <c r="D160" s="3" t="str">
        <f>+EDITABLE!D172</f>
        <v>NEGRO</v>
      </c>
      <c r="E160" s="3" t="str">
        <f>+EDITABLE!E172</f>
        <v>GRANDSTREAM</v>
      </c>
      <c r="F160" s="3" t="str">
        <f>+EDITABLE!F172</f>
        <v>GRP2601P</v>
      </c>
      <c r="G160" s="5" t="str">
        <f>+EDITABLE!G172</f>
        <v>20EZ41MM70628CE2</v>
      </c>
      <c r="H160" s="3" t="str">
        <f>+EDITABLE!H172</f>
        <v>SECRETARÍA AACC Y ESCUELA</v>
      </c>
      <c r="I160" s="3" t="str">
        <f>+EDITABLE!I172</f>
        <v>BUENO</v>
      </c>
      <c r="J160" s="3" t="str">
        <f>+EDITABLE!J172</f>
        <v>LLAMADAS INTERNAS, CABLE DE CONECCIÓN, CABLE ENERGIA</v>
      </c>
      <c r="K160" s="2">
        <f>+EDITABLE!K172</f>
        <v>20</v>
      </c>
      <c r="L160" s="24">
        <f>+EDITABLE!L172</f>
        <v>44841</v>
      </c>
    </row>
    <row r="161" spans="1:13" x14ac:dyDescent="0.25">
      <c r="A161" s="3" t="str">
        <f>CONCATENATE(+EDITABLE!C173," ",H161)</f>
        <v>BASE TELEFÓNICA SECRETARÍA AACC Y ESCUELA</v>
      </c>
      <c r="B161" s="3" t="str">
        <f>+EDITABLE!A173</f>
        <v>BASESECRETAR</v>
      </c>
      <c r="C161" s="6">
        <f>+EDITABLE!B173</f>
        <v>1</v>
      </c>
      <c r="D161" s="3" t="str">
        <f>+EDITABLE!D173</f>
        <v>NEGRO</v>
      </c>
      <c r="E161" s="3" t="str">
        <f>+EDITABLE!E173</f>
        <v>GRANDSTREAM</v>
      </c>
      <c r="F161" s="3" t="str">
        <f>+EDITABLE!F173</f>
        <v>GRP2601P</v>
      </c>
      <c r="G161" s="5" t="str">
        <f>+EDITABLE!G173</f>
        <v>20EZ41MM70628CE2</v>
      </c>
      <c r="H161" s="3" t="str">
        <f>+EDITABLE!H173</f>
        <v>SECRETARÍA AACC Y ESCUELA</v>
      </c>
      <c r="I161" s="3" t="str">
        <f>+EDITABLE!I173</f>
        <v>BUENO</v>
      </c>
      <c r="J161" s="3" t="str">
        <f>+EDITABLE!J173</f>
        <v>LLAMADAS INTERNAS, CABLE DE CONECCIÓN, CABLE ENERGIA</v>
      </c>
      <c r="K161" s="2">
        <f>+EDITABLE!K173</f>
        <v>20</v>
      </c>
      <c r="L161" s="24">
        <f>+EDITABLE!L173</f>
        <v>44841</v>
      </c>
    </row>
    <row r="162" spans="1:13" x14ac:dyDescent="0.25">
      <c r="A162" s="3" t="str">
        <f>CONCATENATE(+EDITABLE!C174," ",H162)</f>
        <v>PARLANTES  SECRETARÍA AACC Y ESCUELA</v>
      </c>
      <c r="B162" s="3" t="str">
        <f>+EDITABLE!A174</f>
        <v>PARLSECRETAR</v>
      </c>
      <c r="C162" s="6">
        <f>+EDITABLE!B174</f>
        <v>1</v>
      </c>
      <c r="D162" s="3" t="str">
        <f>+EDITABLE!D174</f>
        <v>NEGRO Y GRIS</v>
      </c>
      <c r="E162" s="3" t="str">
        <f>+EDITABLE!E174</f>
        <v>DELUX</v>
      </c>
      <c r="F162" s="3" t="str">
        <f>+EDITABLE!F174</f>
        <v>S-20121</v>
      </c>
      <c r="G162" s="5" t="str">
        <f>+EDITABLE!G174</f>
        <v>S/S</v>
      </c>
      <c r="H162" s="3" t="str">
        <f>+EDITABLE!H174</f>
        <v>SECRETARÍA AACC Y ESCUELA</v>
      </c>
      <c r="I162" s="3" t="str">
        <f>+EDITABLE!I174</f>
        <v>BUENO</v>
      </c>
      <c r="J162" s="3" t="str">
        <f>+EDITABLE!J174</f>
        <v>CON CABLE DE SONIDO Y ENERGIA</v>
      </c>
      <c r="K162" s="2">
        <f>+EDITABLE!K174</f>
        <v>15</v>
      </c>
      <c r="L162" s="24">
        <f>+EDITABLE!L174</f>
        <v>45288</v>
      </c>
    </row>
    <row r="163" spans="1:13" x14ac:dyDescent="0.25">
      <c r="A163" s="3" t="str">
        <f>CONCATENATE(+EDITABLE!C175," ",H163)</f>
        <v>SWITCH DE INTERNET SECRETARÍA AACC Y ESCUELA</v>
      </c>
      <c r="B163" s="3" t="str">
        <f>+EDITABLE!A175</f>
        <v>SWITSECRETAR</v>
      </c>
      <c r="C163" s="6">
        <f>+EDITABLE!B175</f>
        <v>1</v>
      </c>
      <c r="D163" s="3" t="str">
        <f>+EDITABLE!D175</f>
        <v>NEGRO</v>
      </c>
      <c r="E163" s="3" t="str">
        <f>+EDITABLE!E175</f>
        <v>ADVANTEK</v>
      </c>
      <c r="F163" s="3" t="str">
        <f>+EDITABLE!F175</f>
        <v>ANS-16P</v>
      </c>
      <c r="G163" s="5" t="str">
        <f>+EDITABLE!G175</f>
        <v>0647E010005</v>
      </c>
      <c r="H163" s="3" t="str">
        <f>+EDITABLE!H175</f>
        <v>SECRETARÍA AACC Y ESCUELA</v>
      </c>
      <c r="I163" s="3" t="str">
        <f>+EDITABLE!I175</f>
        <v>BUENO</v>
      </c>
      <c r="J163" s="3" t="str">
        <f>+EDITABLE!J175</f>
        <v>DE 16 TOMAS PARA CABLES DE RED RJ45</v>
      </c>
      <c r="K163" s="2">
        <f>+EDITABLE!K175</f>
        <v>39</v>
      </c>
      <c r="L163" s="24">
        <f>+EDITABLE!L175</f>
        <v>45288</v>
      </c>
    </row>
    <row r="164" spans="1:13" x14ac:dyDescent="0.25">
      <c r="A164" s="3" t="str">
        <f>CONCATENATE(+EDITABLE!C176," ",H164)</f>
        <v>CPU SECRETARÍA AACC Y ESCUELA</v>
      </c>
      <c r="B164" s="3" t="str">
        <f>+EDITABLE!A176</f>
        <v>CPUSECRETAR</v>
      </c>
      <c r="C164" s="6">
        <f>+EDITABLE!B176</f>
        <v>1</v>
      </c>
      <c r="D164" s="3" t="str">
        <f>+EDITABLE!D176</f>
        <v>NEGRO</v>
      </c>
      <c r="E164" s="3" t="str">
        <f>+EDITABLE!E176</f>
        <v>ALTEK</v>
      </c>
      <c r="F164" s="3" t="str">
        <f>+EDITABLE!F176</f>
        <v>S/M</v>
      </c>
      <c r="G164" s="5" t="str">
        <f>+EDITABLE!G176</f>
        <v>6808110700138</v>
      </c>
      <c r="H164" s="3" t="str">
        <f>+EDITABLE!H176</f>
        <v>SECRETARÍA AACC Y ESCUELA</v>
      </c>
      <c r="I164" s="3" t="str">
        <f>+EDITABLE!I176</f>
        <v>BUENO</v>
      </c>
      <c r="J164" s="3" t="str">
        <f>+EDITABLE!J176</f>
        <v>WINDOWS 10 PRO, PROCESADOR: INTEL R CORE TM i5-2300, 2.80 GHZ, RAM 4 GB, 64 BITS, INTERNET POR CABLE</v>
      </c>
      <c r="K164" s="2">
        <f>+EDITABLE!K176</f>
        <v>250</v>
      </c>
      <c r="L164" s="24">
        <f>+EDITABLE!L176</f>
        <v>45288</v>
      </c>
    </row>
    <row r="165" spans="1:13" x14ac:dyDescent="0.25">
      <c r="A165" s="3" t="str">
        <f>CONCATENATE(+EDITABLE!C177," ",H165)</f>
        <v>MOUSE SECRETARÍA AACC Y ESCUELA</v>
      </c>
      <c r="B165" s="3" t="str">
        <f>+EDITABLE!A177</f>
        <v>MOUSSECRETAR</v>
      </c>
      <c r="C165" s="6">
        <f>+EDITABLE!B177</f>
        <v>1</v>
      </c>
      <c r="D165" s="3" t="str">
        <f>+EDITABLE!D177</f>
        <v>NEGRO/GRIS</v>
      </c>
      <c r="E165" s="3" t="str">
        <f>+EDITABLE!E177</f>
        <v>DELUX</v>
      </c>
      <c r="F165" s="3" t="str">
        <f>+EDITABLE!F177</f>
        <v>S/M</v>
      </c>
      <c r="G165" s="5" t="str">
        <f>+EDITABLE!G177</f>
        <v>S/S</v>
      </c>
      <c r="H165" s="3" t="str">
        <f>+EDITABLE!H177</f>
        <v>SECRETARÍA AACC Y ESCUELA</v>
      </c>
      <c r="I165" s="3" t="str">
        <f>+EDITABLE!I177</f>
        <v>BUENO</v>
      </c>
      <c r="J165" s="3" t="str">
        <f>+EDITABLE!J177</f>
        <v>ALAMBRICO Y LUZ LED, USB</v>
      </c>
      <c r="K165" s="2">
        <f>+EDITABLE!K177</f>
        <v>5</v>
      </c>
      <c r="L165" s="24">
        <f>+EDITABLE!L177</f>
        <v>45288</v>
      </c>
    </row>
    <row r="166" spans="1:13" x14ac:dyDescent="0.25">
      <c r="A166" s="3" t="str">
        <f>CONCATENATE(+EDITABLE!C178," ",H166)</f>
        <v>TECLADO SECRETARÍA AACC Y ESCUELA</v>
      </c>
      <c r="B166" s="3" t="str">
        <f>+EDITABLE!A178</f>
        <v>TECLSECRETAR</v>
      </c>
      <c r="C166" s="6">
        <f>+EDITABLE!B178</f>
        <v>1</v>
      </c>
      <c r="D166" s="3" t="str">
        <f>+EDITABLE!D178</f>
        <v>NEGRO</v>
      </c>
      <c r="E166" s="3" t="str">
        <f>+EDITABLE!E178</f>
        <v>ALTEK</v>
      </c>
      <c r="F166" s="3" t="str">
        <f>+EDITABLE!F178</f>
        <v>S/M</v>
      </c>
      <c r="G166" s="5" t="str">
        <f>+EDITABLE!G178</f>
        <v>3856130601360</v>
      </c>
      <c r="H166" s="3" t="str">
        <f>+EDITABLE!H178</f>
        <v>SECRETARÍA AACC Y ESCUELA</v>
      </c>
      <c r="I166" s="3" t="str">
        <f>+EDITABLE!I178</f>
        <v>BUENO</v>
      </c>
      <c r="J166" s="3" t="str">
        <f>+EDITABLE!J178</f>
        <v>ALAMBRICO, HERGONÓMICO, VARIOS USOS, CONECTOR USB</v>
      </c>
      <c r="K166" s="2">
        <f>+EDITABLE!K178</f>
        <v>17</v>
      </c>
      <c r="L166" s="24">
        <f>+EDITABLE!L178</f>
        <v>45288</v>
      </c>
    </row>
    <row r="167" spans="1:13" x14ac:dyDescent="0.25">
      <c r="A167" s="3" t="str">
        <f>CONCATENATE(+EDITABLE!C179," ",H167)</f>
        <v>MONITOR SECRETARÍA AACC Y ESCUELA</v>
      </c>
      <c r="B167" s="3" t="str">
        <f>+EDITABLE!A179</f>
        <v>MONISECRETAR</v>
      </c>
      <c r="C167" s="6">
        <f>+EDITABLE!B179</f>
        <v>1</v>
      </c>
      <c r="D167" s="3" t="str">
        <f>+EDITABLE!D179</f>
        <v>NEGRO</v>
      </c>
      <c r="E167" s="3" t="str">
        <f>+EDITABLE!E179</f>
        <v>AOK</v>
      </c>
      <c r="F167" s="3" t="str">
        <f>+EDITABLE!F179</f>
        <v>E2070S</v>
      </c>
      <c r="G167" s="5" t="str">
        <f>+EDITABLE!G179</f>
        <v>HNFF71A002934</v>
      </c>
      <c r="H167" s="3" t="str">
        <f>+EDITABLE!H179</f>
        <v>SECRETARÍA AACC Y ESCUELA</v>
      </c>
      <c r="I167" s="3" t="str">
        <f>+EDITABLE!I179</f>
        <v>BUENO</v>
      </c>
      <c r="J167" s="3" t="str">
        <f>+EDITABLE!J179</f>
        <v xml:space="preserve">19.5" </v>
      </c>
      <c r="K167" s="2">
        <f>+EDITABLE!K179</f>
        <v>60</v>
      </c>
      <c r="L167" s="24">
        <f>+EDITABLE!L179</f>
        <v>45288</v>
      </c>
    </row>
    <row r="168" spans="1:13" x14ac:dyDescent="0.25">
      <c r="A168" s="3" t="str">
        <f>CONCATENATE(+EDITABLE!C180," ",H168)</f>
        <v>DISCO DURO EXTERNO SECRETARÍA AACC Y ESCUELA</v>
      </c>
      <c r="B168" s="3" t="str">
        <f>+EDITABLE!A180</f>
        <v>DISCSECRETAR</v>
      </c>
      <c r="C168" s="6">
        <f>+EDITABLE!B180</f>
        <v>1</v>
      </c>
      <c r="D168" s="3" t="str">
        <f>+EDITABLE!D180</f>
        <v>NEGRO/ROJO</v>
      </c>
      <c r="E168" s="3" t="str">
        <f>+EDITABLE!E180</f>
        <v>ADATA</v>
      </c>
      <c r="F168" s="3" t="str">
        <f>+EDITABLE!F180</f>
        <v>HD770G-2T</v>
      </c>
      <c r="G168" s="5" t="str">
        <f>+EDITABLE!G180</f>
        <v>1K0620262633</v>
      </c>
      <c r="H168" s="3" t="str">
        <f>+EDITABLE!H180</f>
        <v>SECRETARÍA AACC Y ESCUELA</v>
      </c>
      <c r="I168" s="3" t="str">
        <f>+EDITABLE!I180</f>
        <v>BUENO</v>
      </c>
      <c r="J168" s="3" t="str">
        <f>+EDITABLE!J180</f>
        <v>CAPACIDAD DE UN TERRA BIT</v>
      </c>
      <c r="K168" s="2">
        <f>+EDITABLE!K180</f>
        <v>80</v>
      </c>
      <c r="L168" s="24">
        <f>+EDITABLE!L180</f>
        <v>44281</v>
      </c>
    </row>
    <row r="169" spans="1:13" x14ac:dyDescent="0.25">
      <c r="A169" s="3" t="str">
        <f>CONCATENATE(+EDITABLE!C181," ",H169)</f>
        <v>ADAPTADOR DE INTERNET USB SECRETARÍA AACC Y ESCUELA</v>
      </c>
      <c r="B169" s="3" t="str">
        <f>+EDITABLE!A181</f>
        <v>ADAPSECRETAR</v>
      </c>
      <c r="C169" s="6">
        <f>+EDITABLE!B181</f>
        <v>1</v>
      </c>
      <c r="D169" s="3" t="str">
        <f>+EDITABLE!D181</f>
        <v>BLANCO</v>
      </c>
      <c r="E169" s="3" t="str">
        <f>+EDITABLE!E181</f>
        <v>ANERA</v>
      </c>
      <c r="F169" s="3" t="str">
        <f>+EDITABLE!F181</f>
        <v>SB208B</v>
      </c>
      <c r="G169" s="5">
        <f>+EDITABLE!G181</f>
        <v>8152</v>
      </c>
      <c r="H169" s="3" t="str">
        <f>+EDITABLE!H181</f>
        <v>SECRETARÍA AACC Y ESCUELA</v>
      </c>
      <c r="I169" s="3" t="str">
        <f>+EDITABLE!I181</f>
        <v>BUENO</v>
      </c>
      <c r="J169" s="3" t="str">
        <f>+EDITABLE!J181</f>
        <v>CONVIERTE LA SEÑAL DE INTERNET DE USB A RJ45</v>
      </c>
      <c r="K169" s="2">
        <f>+EDITABLE!K181</f>
        <v>10</v>
      </c>
      <c r="L169" s="24">
        <f>+EDITABLE!L181</f>
        <v>45288</v>
      </c>
    </row>
    <row r="170" spans="1:13" x14ac:dyDescent="0.25">
      <c r="A170" s="3" t="str">
        <f>CONCATENATE(+EDITABLE!C182," ",H170)</f>
        <v>FLASH MEMORY SECRETARÍA AACC Y ESCUELA</v>
      </c>
      <c r="B170" s="3" t="str">
        <f>+EDITABLE!A182</f>
        <v>FLASSECRETAR</v>
      </c>
      <c r="C170" s="6">
        <f>+EDITABLE!B182</f>
        <v>1</v>
      </c>
      <c r="D170" s="3" t="str">
        <f>+EDITABLE!D182</f>
        <v>NEGRO AZUL</v>
      </c>
      <c r="E170" s="3" t="str">
        <f>+EDITABLE!E182</f>
        <v>KINGSTON</v>
      </c>
      <c r="F170" s="3" t="str">
        <f>+EDITABLE!F182</f>
        <v>S/M</v>
      </c>
      <c r="G170" s="5" t="str">
        <f>+EDITABLE!G182</f>
        <v>S/S</v>
      </c>
      <c r="H170" s="3" t="str">
        <f>+EDITABLE!H182</f>
        <v>SECRETARÍA AACC Y ESCUELA</v>
      </c>
      <c r="I170" s="3" t="str">
        <f>+EDITABLE!I182</f>
        <v>BUENO</v>
      </c>
      <c r="J170" s="3" t="str">
        <f>+EDITABLE!J182</f>
        <v>USB DE 64 GB</v>
      </c>
      <c r="K170" s="2">
        <f>+EDITABLE!K182</f>
        <v>8</v>
      </c>
      <c r="L170" s="24">
        <f>+EDITABLE!L182</f>
        <v>45288</v>
      </c>
    </row>
    <row r="171" spans="1:13" x14ac:dyDescent="0.25">
      <c r="A171" s="3" t="str">
        <f>CONCATENATE(+EDITABLE!C183," ",H171)</f>
        <v>GRABADORA DE VOZ SECRETARÍA AACC Y ESCUELA</v>
      </c>
      <c r="B171" s="3" t="str">
        <f>+EDITABLE!A183</f>
        <v>GRABSECRETAR</v>
      </c>
      <c r="C171" s="6">
        <f>+EDITABLE!B183</f>
        <v>1</v>
      </c>
      <c r="D171" s="3" t="str">
        <f>+EDITABLE!D183</f>
        <v>NEGRO</v>
      </c>
      <c r="E171" s="3" t="str">
        <f>+EDITABLE!E183</f>
        <v>SONY</v>
      </c>
      <c r="F171" s="3" t="str">
        <f>+EDITABLE!F183</f>
        <v>ICD-PX470</v>
      </c>
      <c r="G171" s="5">
        <f>+EDITABLE!G183</f>
        <v>1087329</v>
      </c>
      <c r="H171" s="3" t="str">
        <f>+EDITABLE!H183</f>
        <v>SECRETARÍA AACC Y ESCUELA</v>
      </c>
      <c r="I171" s="3" t="str">
        <f>+EDITABLE!I183</f>
        <v>BUENO</v>
      </c>
      <c r="J171" s="3" t="str">
        <f>+EDITABLE!J183</f>
        <v>GRABADORA DE VOZ, BATERIA 1.5 UVX2 , AAA</v>
      </c>
      <c r="K171" s="2">
        <f>+EDITABLE!K183</f>
        <v>25</v>
      </c>
      <c r="L171" s="24">
        <f>+EDITABLE!L183</f>
        <v>45288</v>
      </c>
    </row>
    <row r="172" spans="1:13" x14ac:dyDescent="0.25">
      <c r="A172" s="3" t="str">
        <f>CONCATENATE(+EDITABLE!C184," ",H172)</f>
        <v>ADAPTADOR DE INTERNET USB SECRETARÍA AACC Y ESCUELA</v>
      </c>
      <c r="B172" s="3" t="str">
        <f>+EDITABLE!A184</f>
        <v>ADAPSECRETAR</v>
      </c>
      <c r="C172" s="6">
        <f>+EDITABLE!B184</f>
        <v>1</v>
      </c>
      <c r="D172" s="3" t="str">
        <f>+EDITABLE!D184</f>
        <v>BLANCO</v>
      </c>
      <c r="E172" s="3" t="str">
        <f>+EDITABLE!E184</f>
        <v>ANERA</v>
      </c>
      <c r="F172" s="3" t="str">
        <f>+EDITABLE!F184</f>
        <v>SB208B</v>
      </c>
      <c r="G172" s="5">
        <f>+EDITABLE!G184</f>
        <v>8152</v>
      </c>
      <c r="H172" s="3" t="str">
        <f>+EDITABLE!H184</f>
        <v>SECRETARÍA AACC Y ESCUELA</v>
      </c>
      <c r="I172" s="3" t="str">
        <f>+EDITABLE!I184</f>
        <v>BUENO</v>
      </c>
      <c r="J172" s="3" t="str">
        <f>+EDITABLE!J184</f>
        <v>CONVIERTE LA SEÑAL DE INTERNET DE USB A RJ45</v>
      </c>
      <c r="K172" s="2">
        <f>+EDITABLE!K184</f>
        <v>10</v>
      </c>
      <c r="L172" s="24">
        <f>+EDITABLE!L184</f>
        <v>45288</v>
      </c>
    </row>
    <row r="173" spans="1:13" x14ac:dyDescent="0.25">
      <c r="A173" s="3" t="str">
        <f>CONCATENATE(+EDITABLE!C185," ",H173)</f>
        <v xml:space="preserve"> 0</v>
      </c>
      <c r="B173" s="3" t="str">
        <f>+EDITABLE!A185</f>
        <v/>
      </c>
      <c r="C173" s="6">
        <f>+EDITABLE!B185</f>
        <v>0</v>
      </c>
      <c r="D173" s="3">
        <f>+EDITABLE!D185</f>
        <v>0</v>
      </c>
      <c r="E173" s="3">
        <f>+EDITABLE!E185</f>
        <v>0</v>
      </c>
      <c r="F173" s="3">
        <f>+EDITABLE!F185</f>
        <v>0</v>
      </c>
      <c r="G173" s="5">
        <f>+EDITABLE!G185</f>
        <v>0</v>
      </c>
      <c r="H173" s="3">
        <f>+EDITABLE!H185</f>
        <v>0</v>
      </c>
      <c r="I173" s="3">
        <f>+EDITABLE!I185</f>
        <v>0</v>
      </c>
      <c r="J173" s="3">
        <f>+EDITABLE!J185</f>
        <v>0</v>
      </c>
      <c r="K173" s="2">
        <f>+EDITABLE!K185</f>
        <v>0</v>
      </c>
      <c r="L173" s="24">
        <f>+EDITABLE!L185</f>
        <v>0</v>
      </c>
    </row>
    <row r="174" spans="1:13" x14ac:dyDescent="0.25">
      <c r="A174" s="3" t="str">
        <f>CONCATENATE(+EDITABLE!C186," ",H174)</f>
        <v xml:space="preserve"> 0</v>
      </c>
      <c r="B174" s="3" t="str">
        <f>+EDITABLE!A186</f>
        <v/>
      </c>
      <c r="C174" s="6">
        <f>+EDITABLE!B186</f>
        <v>0</v>
      </c>
      <c r="D174" s="3">
        <f>+EDITABLE!D186</f>
        <v>0</v>
      </c>
      <c r="E174" s="3">
        <f>+EDITABLE!E186</f>
        <v>0</v>
      </c>
      <c r="F174" s="3">
        <f>+EDITABLE!F186</f>
        <v>0</v>
      </c>
      <c r="G174" s="5">
        <f>+EDITABLE!G186</f>
        <v>0</v>
      </c>
      <c r="H174" s="3">
        <f>+EDITABLE!H186</f>
        <v>0</v>
      </c>
      <c r="I174" s="3">
        <f>+EDITABLE!I186</f>
        <v>0</v>
      </c>
      <c r="J174" s="3">
        <f>+EDITABLE!J186</f>
        <v>0</v>
      </c>
      <c r="K174" s="2">
        <f>+EDITABLE!K186</f>
        <v>0</v>
      </c>
      <c r="L174" s="24">
        <f>+EDITABLE!L186</f>
        <v>0</v>
      </c>
    </row>
    <row r="175" spans="1:13" x14ac:dyDescent="0.25">
      <c r="A175" s="3" t="str">
        <f>CONCATENATE(+EDITABLE!C187," ",H175)</f>
        <v xml:space="preserve"> 0</v>
      </c>
      <c r="B175" s="3" t="str">
        <f>+EDITABLE!A187</f>
        <v/>
      </c>
      <c r="C175" s="6">
        <f>+EDITABLE!B187</f>
        <v>0</v>
      </c>
      <c r="D175" s="3">
        <f>+EDITABLE!D187</f>
        <v>0</v>
      </c>
      <c r="E175" s="3">
        <f>+EDITABLE!E187</f>
        <v>0</v>
      </c>
      <c r="F175" s="3">
        <f>+EDITABLE!F187</f>
        <v>0</v>
      </c>
      <c r="G175" s="5">
        <f>+EDITABLE!G187</f>
        <v>0</v>
      </c>
      <c r="H175" s="3">
        <f>+EDITABLE!H187</f>
        <v>0</v>
      </c>
      <c r="I175" s="3">
        <f>+EDITABLE!I187</f>
        <v>0</v>
      </c>
      <c r="J175" s="3">
        <f>+EDITABLE!J187</f>
        <v>0</v>
      </c>
      <c r="K175" s="2">
        <f>+EDITABLE!K187</f>
        <v>0</v>
      </c>
      <c r="L175" s="24">
        <f>+EDITABLE!L187</f>
        <v>0</v>
      </c>
    </row>
    <row r="176" spans="1:13" x14ac:dyDescent="0.25">
      <c r="A176" s="3" t="str">
        <f>CONCATENATE(+EDITABLE!C189," ",H176)</f>
        <v>RELOJ BIOMETRICO PASILLO OFICINAS</v>
      </c>
      <c r="B176" s="3" t="str">
        <f>+EDITABLE!A189</f>
        <v xml:space="preserve">RELOPASILLO </v>
      </c>
      <c r="C176" s="6">
        <f>+EDITABLE!B189</f>
        <v>1</v>
      </c>
      <c r="D176" s="3" t="str">
        <f>+EDITABLE!D189</f>
        <v>NEGRO</v>
      </c>
      <c r="E176" s="3" t="str">
        <f>+EDITABLE!E189</f>
        <v>ZK-TECO</v>
      </c>
      <c r="F176" s="3" t="str">
        <f>+EDITABLE!F189</f>
        <v>V300-G-ID</v>
      </c>
      <c r="G176" s="5" t="str">
        <f>+EDITABLE!G189</f>
        <v>6339152700612</v>
      </c>
      <c r="H176" s="3" t="str">
        <f>+EDITABLE!H189</f>
        <v>PASILLO OFICINAS</v>
      </c>
      <c r="I176" s="3" t="str">
        <f>+EDITABLE!I189</f>
        <v>BUENO</v>
      </c>
      <c r="J176" s="3" t="str">
        <f>+EDITABLE!J189</f>
        <v>RECONOCIMIENTO BIOMÉTRICO PRECISO: Utiliza algoritmos de vanguardia para garantizar una identificación precisa de huellas dactilares.
Diseño compacto y elegante: Su diseño estilizado se adapta fácilmente a cualquier entorno y brinda una apariencia moderna.</v>
      </c>
      <c r="K176" s="2">
        <f>+EDITABLE!K189</f>
        <v>250</v>
      </c>
      <c r="L176" s="24">
        <f>+EDITABLE!L189</f>
        <v>45245</v>
      </c>
      <c r="M176">
        <v>14</v>
      </c>
    </row>
    <row r="177" spans="1:13" x14ac:dyDescent="0.25">
      <c r="A177" s="3" t="str">
        <f>CONCATENATE(+EDITABLE!C190," ",H177)</f>
        <v>SENSOR DE ALARMA PASILLO OFICINAS</v>
      </c>
      <c r="B177" s="3" t="str">
        <f>+EDITABLE!A190</f>
        <v xml:space="preserve">SENSPASILLO </v>
      </c>
      <c r="C177" s="6">
        <f>+EDITABLE!B190</f>
        <v>1</v>
      </c>
      <c r="D177" s="3" t="str">
        <f>+EDITABLE!D190</f>
        <v>BLANCO</v>
      </c>
      <c r="E177" s="3" t="str">
        <f>+EDITABLE!E190</f>
        <v>DSC</v>
      </c>
      <c r="F177" s="3" t="str">
        <f>+EDITABLE!F190</f>
        <v>LC-100PI</v>
      </c>
      <c r="G177" s="5">
        <f>+EDITABLE!G190</f>
        <v>88030080</v>
      </c>
      <c r="H177" s="3" t="str">
        <f>+EDITABLE!H190</f>
        <v>PASILLO OFICINAS</v>
      </c>
      <c r="I177" s="3" t="str">
        <f>+EDITABLE!I190</f>
        <v>BUENO</v>
      </c>
      <c r="J177" s="3" t="str">
        <f>+EDITABLE!J190</f>
        <v>CONECTADA AL SISTEMA DE ALARMAS</v>
      </c>
      <c r="K177" s="2">
        <f>+EDITABLE!K190</f>
        <v>20</v>
      </c>
      <c r="L177" s="24">
        <f>+EDITABLE!L190</f>
        <v>44841</v>
      </c>
    </row>
    <row r="178" spans="1:13" x14ac:dyDescent="0.25">
      <c r="A178" s="3" t="str">
        <f>CONCATENATE(+EDITABLE!C191," ",H178)</f>
        <v>LÁMPARA DE EMERGENCIA PASILLO OFICINAS</v>
      </c>
      <c r="B178" s="3" t="str">
        <f>+EDITABLE!A191</f>
        <v xml:space="preserve">LÁMPPASILLO </v>
      </c>
      <c r="C178" s="6">
        <f>+EDITABLE!B191</f>
        <v>1</v>
      </c>
      <c r="D178" s="3" t="str">
        <f>+EDITABLE!D191</f>
        <v>BLANCO</v>
      </c>
      <c r="E178" s="3" t="str">
        <f>+EDITABLE!E191</f>
        <v>SIYLVIANA</v>
      </c>
      <c r="F178" s="3" t="str">
        <f>+EDITABLE!F191</f>
        <v>S/M</v>
      </c>
      <c r="G178" s="5" t="str">
        <f>+EDITABLE!G191</f>
        <v>S/S</v>
      </c>
      <c r="H178" s="3" t="str">
        <f>+EDITABLE!H191</f>
        <v>PASILLO OFICINAS</v>
      </c>
      <c r="I178" s="3" t="str">
        <f>+EDITABLE!I191</f>
        <v>BUENO</v>
      </c>
      <c r="J178" s="3" t="str">
        <f>+EDITABLE!J191</f>
        <v>LUNINARIA DE EMERGENCIA R-1 MINI, FACIL DE MANTENIMIENTO. -DISEÑO COMPACTO CHASIS TERMOPLÁSTICO RETARDANTE AL FUEGO.  -LUZ LED.</v>
      </c>
      <c r="K178" s="2">
        <f>+EDITABLE!K191</f>
        <v>25</v>
      </c>
      <c r="L178" s="24">
        <f>+EDITABLE!L191</f>
        <v>44292</v>
      </c>
    </row>
    <row r="179" spans="1:13" x14ac:dyDescent="0.25">
      <c r="A179" s="3" t="str">
        <f>CONCATENATE(+EDITABLE!C192," ",H179)</f>
        <v>MODEM WIFI PASILLO OFICINAS</v>
      </c>
      <c r="B179" s="3" t="str">
        <f>+EDITABLE!A192</f>
        <v xml:space="preserve">MODEPASILLO </v>
      </c>
      <c r="C179" s="6">
        <f>+EDITABLE!B192</f>
        <v>1</v>
      </c>
      <c r="D179" s="3" t="str">
        <f>+EDITABLE!D192</f>
        <v>NEGRO</v>
      </c>
      <c r="E179" s="3" t="str">
        <f>+EDITABLE!E192</f>
        <v>TP-LINK</v>
      </c>
      <c r="F179" s="3" t="str">
        <f>+EDITABLE!F192</f>
        <v>AX1500</v>
      </c>
      <c r="G179" s="5" t="str">
        <f>+EDITABLE!G192</f>
        <v>X2000RM8801355V1.0</v>
      </c>
      <c r="H179" s="3" t="str">
        <f>+EDITABLE!H192</f>
        <v>PASILLO OFICINAS</v>
      </c>
      <c r="I179" s="3" t="str">
        <f>+EDITABLE!I192</f>
        <v>BUENO</v>
      </c>
      <c r="J179" s="3" t="str">
        <f>+EDITABLE!J192</f>
        <v>CONECTIVIDAD A DISPOSITIVOS TECNOLÓGICOS</v>
      </c>
      <c r="K179" s="2">
        <f>+EDITABLE!K192</f>
        <v>65</v>
      </c>
      <c r="L179" s="24">
        <f>+EDITABLE!L192</f>
        <v>44292</v>
      </c>
    </row>
    <row r="180" spans="1:13" x14ac:dyDescent="0.25">
      <c r="A180" s="3" t="str">
        <f>CONCATENATE(+EDITABLE!C193," ",H180)</f>
        <v>COPIADORA PASILLO OFICINAS</v>
      </c>
      <c r="B180" s="3" t="str">
        <f>+EDITABLE!A193</f>
        <v xml:space="preserve">COPIPASILLO </v>
      </c>
      <c r="C180" s="6">
        <f>+EDITABLE!B193</f>
        <v>1</v>
      </c>
      <c r="D180" s="3" t="str">
        <f>+EDITABLE!D193</f>
        <v>BLANCO</v>
      </c>
      <c r="E180" s="3" t="str">
        <f>+EDITABLE!E193</f>
        <v>RICHO</v>
      </c>
      <c r="F180" s="3" t="str">
        <f>+EDITABLE!F193</f>
        <v>MPC3504EX</v>
      </c>
      <c r="G180" s="5" t="str">
        <f>+EDITABLE!G193</f>
        <v>C85226864</v>
      </c>
      <c r="H180" s="3" t="str">
        <f>+EDITABLE!H193</f>
        <v>PASILLO OFICINAS</v>
      </c>
      <c r="I180" s="3" t="str">
        <f>+EDITABLE!I193</f>
        <v>BUENO</v>
      </c>
      <c r="J180" s="3" t="str">
        <f>+EDITABLE!J193</f>
        <v>COPIADORA E IMPRESORA A COLOR</v>
      </c>
      <c r="K180" s="2">
        <f>+EDITABLE!K193</f>
        <v>3160.32</v>
      </c>
      <c r="L180" s="24">
        <f>+EDITABLE!L193</f>
        <v>45202</v>
      </c>
    </row>
    <row r="181" spans="1:13" x14ac:dyDescent="0.25">
      <c r="A181" s="3" t="str">
        <f>CONCATENATE(+EDITABLE!C194," ",H181)</f>
        <v xml:space="preserve"> 0</v>
      </c>
      <c r="B181" s="3" t="str">
        <f>+EDITABLE!A194</f>
        <v/>
      </c>
      <c r="C181" s="6">
        <f>+EDITABLE!B194</f>
        <v>0</v>
      </c>
      <c r="D181" s="3">
        <f>+EDITABLE!D194</f>
        <v>0</v>
      </c>
      <c r="E181" s="3">
        <f>+EDITABLE!E194</f>
        <v>0</v>
      </c>
      <c r="F181" s="3">
        <f>+EDITABLE!F194</f>
        <v>0</v>
      </c>
      <c r="G181" s="5">
        <f>+EDITABLE!G194</f>
        <v>0</v>
      </c>
      <c r="H181" s="3">
        <f>+EDITABLE!H194</f>
        <v>0</v>
      </c>
      <c r="I181" s="3">
        <f>+EDITABLE!I194</f>
        <v>0</v>
      </c>
      <c r="J181" s="3">
        <f>+EDITABLE!J194</f>
        <v>0</v>
      </c>
      <c r="K181" s="2">
        <f>+EDITABLE!K194</f>
        <v>0</v>
      </c>
      <c r="L181" s="24">
        <f>+EDITABLE!L194</f>
        <v>0</v>
      </c>
    </row>
    <row r="182" spans="1:13" x14ac:dyDescent="0.25">
      <c r="A182" s="3" t="str">
        <f>CONCATENATE(+EDITABLE!C195," ",H182)</f>
        <v xml:space="preserve"> 0</v>
      </c>
      <c r="B182" s="3" t="str">
        <f>+EDITABLE!A195</f>
        <v/>
      </c>
      <c r="C182" s="6">
        <f>+EDITABLE!B195</f>
        <v>0</v>
      </c>
      <c r="D182" s="3">
        <f>+EDITABLE!D195</f>
        <v>0</v>
      </c>
      <c r="E182" s="3">
        <f>+EDITABLE!E195</f>
        <v>0</v>
      </c>
      <c r="F182" s="3">
        <f>+EDITABLE!F195</f>
        <v>0</v>
      </c>
      <c r="G182" s="5">
        <f>+EDITABLE!G195</f>
        <v>0</v>
      </c>
      <c r="H182" s="3">
        <f>+EDITABLE!H195</f>
        <v>0</v>
      </c>
      <c r="I182" s="3">
        <f>+EDITABLE!I195</f>
        <v>0</v>
      </c>
      <c r="J182" s="3">
        <f>+EDITABLE!J195</f>
        <v>0</v>
      </c>
      <c r="K182" s="2">
        <f>+EDITABLE!K195</f>
        <v>0</v>
      </c>
      <c r="L182" s="24">
        <f>+EDITABLE!L195</f>
        <v>0</v>
      </c>
    </row>
    <row r="183" spans="1:13" x14ac:dyDescent="0.25">
      <c r="A183" s="3" t="str">
        <f>CONCATENATE(+EDITABLE!C196," ",H183)</f>
        <v xml:space="preserve"> 0</v>
      </c>
      <c r="B183" s="3" t="str">
        <f>+EDITABLE!A196</f>
        <v/>
      </c>
      <c r="C183" s="6">
        <f>+EDITABLE!B196</f>
        <v>0</v>
      </c>
      <c r="D183" s="3">
        <f>+EDITABLE!D196</f>
        <v>0</v>
      </c>
      <c r="E183" s="3">
        <f>+EDITABLE!E196</f>
        <v>0</v>
      </c>
      <c r="F183" s="3">
        <f>+EDITABLE!F196</f>
        <v>0</v>
      </c>
      <c r="G183" s="5">
        <f>+EDITABLE!G196</f>
        <v>0</v>
      </c>
      <c r="H183" s="3">
        <f>+EDITABLE!H196</f>
        <v>0</v>
      </c>
      <c r="I183" s="3">
        <f>+EDITABLE!I196</f>
        <v>0</v>
      </c>
      <c r="J183" s="3">
        <f>+EDITABLE!J196</f>
        <v>0</v>
      </c>
      <c r="K183" s="2">
        <f>+EDITABLE!K196</f>
        <v>0</v>
      </c>
      <c r="L183" s="24">
        <f>+EDITABLE!L196</f>
        <v>0</v>
      </c>
    </row>
    <row r="184" spans="1:13" x14ac:dyDescent="0.25">
      <c r="A184" s="3" t="str">
        <f>CONCATENATE(+EDITABLE!C198," ",H184)</f>
        <v>LÁMPARA DE EMERGENCIA PASILLO GRADAS</v>
      </c>
      <c r="B184" s="3" t="str">
        <f>+EDITABLE!A198</f>
        <v xml:space="preserve">LÁMPPASILLO </v>
      </c>
      <c r="C184" s="6">
        <f>+EDITABLE!B198</f>
        <v>1</v>
      </c>
      <c r="D184" s="3" t="str">
        <f>+EDITABLE!D198</f>
        <v>BLANCO</v>
      </c>
      <c r="E184" s="3" t="str">
        <f>+EDITABLE!E198</f>
        <v>SIYLVIANA</v>
      </c>
      <c r="F184" s="3" t="str">
        <f>+EDITABLE!F198</f>
        <v>S/M</v>
      </c>
      <c r="G184" s="5" t="str">
        <f>+EDITABLE!G198</f>
        <v>S/S</v>
      </c>
      <c r="H184" s="3" t="str">
        <f>+EDITABLE!H198</f>
        <v>PASILLO GRADAS</v>
      </c>
      <c r="I184" s="3" t="str">
        <f>+EDITABLE!I198</f>
        <v>BUENO</v>
      </c>
      <c r="J184" s="3" t="str">
        <f>+EDITABLE!J198</f>
        <v>LUNINARIA DE EMERGENCIA R-1 MINI, FACIL DE MANTENIMIENTO. -DISEÑO COMPACTO CHASIS TERMOPLÁSTICO RETARDANTE AL FUEGO.  -LUZ LED.</v>
      </c>
      <c r="K184" s="2">
        <f>+EDITABLE!K198</f>
        <v>25</v>
      </c>
      <c r="L184" s="24">
        <f>+EDITABLE!L198</f>
        <v>44292</v>
      </c>
      <c r="M184">
        <v>15</v>
      </c>
    </row>
    <row r="185" spans="1:13" x14ac:dyDescent="0.25">
      <c r="A185" s="3" t="str">
        <f>CONCATENATE(+EDITABLE!C199," ",H185)</f>
        <v>CAMARA VIDEO VIGILANCIA PASILLO GRADAS</v>
      </c>
      <c r="B185" s="3" t="str">
        <f>+EDITABLE!A199</f>
        <v xml:space="preserve">CAMAPASILLO </v>
      </c>
      <c r="C185" s="6">
        <f>+EDITABLE!B199</f>
        <v>1</v>
      </c>
      <c r="D185" s="3" t="str">
        <f>+EDITABLE!D199</f>
        <v>BLANCO</v>
      </c>
      <c r="E185" s="3" t="str">
        <f>+EDITABLE!E199</f>
        <v>HIKVISION</v>
      </c>
      <c r="F185" s="3" t="str">
        <f>+EDITABLE!F199</f>
        <v>S/M</v>
      </c>
      <c r="G185" s="5" t="str">
        <f>+EDITABLE!G199</f>
        <v>S/S</v>
      </c>
      <c r="H185" s="3" t="str">
        <f>+EDITABLE!H199</f>
        <v>PASILLO GRADAS</v>
      </c>
      <c r="I185" s="3" t="str">
        <f>+EDITABLE!I199</f>
        <v>BUENO</v>
      </c>
      <c r="J185" s="3" t="str">
        <f>+EDITABLE!J199</f>
        <v>CONECTADA AL DVR Y VISION EN MOVIL Y CUARTO DE RED</v>
      </c>
      <c r="K185" s="2">
        <f>+EDITABLE!K199</f>
        <v>25</v>
      </c>
      <c r="L185" s="24">
        <f>+EDITABLE!L199</f>
        <v>44841</v>
      </c>
    </row>
    <row r="186" spans="1:13" x14ac:dyDescent="0.25">
      <c r="A186" s="3" t="str">
        <f>CONCATENATE(+EDITABLE!C200," ",H186)</f>
        <v>ALARMA PASILLO GRADAS</v>
      </c>
      <c r="B186" s="3" t="str">
        <f>+EDITABLE!A200</f>
        <v xml:space="preserve">ALARPASILLO </v>
      </c>
      <c r="C186" s="6">
        <f>+EDITABLE!B200</f>
        <v>1</v>
      </c>
      <c r="D186" s="3" t="str">
        <f>+EDITABLE!D200</f>
        <v>BLANCO/ROJO</v>
      </c>
      <c r="E186" s="3" t="str">
        <f>+EDITABLE!E200</f>
        <v>S/M</v>
      </c>
      <c r="F186" s="3" t="str">
        <f>+EDITABLE!F200</f>
        <v>S/M</v>
      </c>
      <c r="G186" s="5" t="str">
        <f>+EDITABLE!G200</f>
        <v>S/S</v>
      </c>
      <c r="H186" s="3" t="str">
        <f>+EDITABLE!H200</f>
        <v>PASILLO GRADAS</v>
      </c>
      <c r="I186" s="3" t="str">
        <f>+EDITABLE!I200</f>
        <v>BUENO</v>
      </c>
      <c r="J186" s="3" t="str">
        <f>+EDITABLE!J200</f>
        <v>SONIDO DE ADVERTENCIA SEGÚN LOS SENSORES</v>
      </c>
      <c r="K186" s="2">
        <f>+EDITABLE!K200</f>
        <v>40</v>
      </c>
      <c r="L186" s="24">
        <f>+EDITABLE!L200</f>
        <v>44841</v>
      </c>
    </row>
    <row r="187" spans="1:13" x14ac:dyDescent="0.25">
      <c r="A187" s="3" t="str">
        <f>CONCATENATE(+EDITABLE!C201," ",H187)</f>
        <v xml:space="preserve"> 0</v>
      </c>
      <c r="B187" s="3" t="str">
        <f>+EDITABLE!A201</f>
        <v/>
      </c>
      <c r="C187" s="6">
        <f>+EDITABLE!B201</f>
        <v>0</v>
      </c>
      <c r="D187" s="3">
        <f>+EDITABLE!D201</f>
        <v>0</v>
      </c>
      <c r="E187" s="3">
        <f>+EDITABLE!E201</f>
        <v>0</v>
      </c>
      <c r="F187" s="3">
        <f>+EDITABLE!F201</f>
        <v>0</v>
      </c>
      <c r="G187" s="5">
        <f>+EDITABLE!G201</f>
        <v>0</v>
      </c>
      <c r="H187" s="3">
        <f>+EDITABLE!H201</f>
        <v>0</v>
      </c>
      <c r="I187" s="3">
        <f>+EDITABLE!I201</f>
        <v>0</v>
      </c>
      <c r="J187" s="3">
        <f>+EDITABLE!J201</f>
        <v>0</v>
      </c>
      <c r="K187" s="2">
        <f>+EDITABLE!K201</f>
        <v>0</v>
      </c>
      <c r="L187" s="24">
        <f>+EDITABLE!L201</f>
        <v>0</v>
      </c>
    </row>
    <row r="188" spans="1:13" x14ac:dyDescent="0.25">
      <c r="A188" s="3" t="str">
        <f>CONCATENATE(+EDITABLE!C202," ",H188)</f>
        <v xml:space="preserve"> 0</v>
      </c>
      <c r="B188" s="3" t="str">
        <f>+EDITABLE!A202</f>
        <v/>
      </c>
      <c r="C188" s="6">
        <f>+EDITABLE!B202</f>
        <v>0</v>
      </c>
      <c r="D188" s="3">
        <f>+EDITABLE!D202</f>
        <v>0</v>
      </c>
      <c r="E188" s="3">
        <f>+EDITABLE!E202</f>
        <v>0</v>
      </c>
      <c r="F188" s="3">
        <f>+EDITABLE!F202</f>
        <v>0</v>
      </c>
      <c r="G188" s="5">
        <f>+EDITABLE!G202</f>
        <v>0</v>
      </c>
      <c r="H188" s="3">
        <f>+EDITABLE!H202</f>
        <v>0</v>
      </c>
      <c r="I188" s="3">
        <f>+EDITABLE!I202</f>
        <v>0</v>
      </c>
      <c r="J188" s="3">
        <f>+EDITABLE!J202</f>
        <v>0</v>
      </c>
      <c r="K188" s="2">
        <f>+EDITABLE!K202</f>
        <v>0</v>
      </c>
      <c r="L188" s="24">
        <f>+EDITABLE!L202</f>
        <v>0</v>
      </c>
    </row>
    <row r="189" spans="1:13" x14ac:dyDescent="0.25">
      <c r="A189" s="3" t="str">
        <f>CONCATENATE(+EDITABLE!C203," ",H189)</f>
        <v xml:space="preserve"> 0</v>
      </c>
      <c r="B189" s="3" t="str">
        <f>+EDITABLE!A203</f>
        <v/>
      </c>
      <c r="C189" s="6">
        <f>+EDITABLE!B203</f>
        <v>0</v>
      </c>
      <c r="D189" s="3">
        <f>+EDITABLE!D203</f>
        <v>0</v>
      </c>
      <c r="E189" s="3">
        <f>+EDITABLE!E203</f>
        <v>0</v>
      </c>
      <c r="F189" s="3">
        <f>+EDITABLE!F203</f>
        <v>0</v>
      </c>
      <c r="G189" s="5">
        <f>+EDITABLE!G203</f>
        <v>0</v>
      </c>
      <c r="H189" s="3">
        <f>+EDITABLE!H203</f>
        <v>0</v>
      </c>
      <c r="I189" s="3">
        <f>+EDITABLE!I203</f>
        <v>0</v>
      </c>
      <c r="J189" s="3">
        <f>+EDITABLE!J203</f>
        <v>0</v>
      </c>
      <c r="K189" s="2">
        <f>+EDITABLE!K203</f>
        <v>0</v>
      </c>
      <c r="L189" s="24">
        <f>+EDITABLE!L203</f>
        <v>0</v>
      </c>
    </row>
    <row r="190" spans="1:13" x14ac:dyDescent="0.25">
      <c r="A190" s="3" t="str">
        <f>CONCATENATE(+EDITABLE!C205," ",H190)</f>
        <v>CONTROL DE ALARMAS Y SENSORES BODEGA SUMINISTROS</v>
      </c>
      <c r="B190" s="3" t="str">
        <f>+EDITABLE!A205</f>
        <v>CONTBODEGA S</v>
      </c>
      <c r="C190" s="6">
        <f>+EDITABLE!B205</f>
        <v>1</v>
      </c>
      <c r="D190" s="3" t="str">
        <f>+EDITABLE!D205</f>
        <v>BLANCO</v>
      </c>
      <c r="E190" s="3" t="str">
        <f>+EDITABLE!E205</f>
        <v>S/M</v>
      </c>
      <c r="F190" s="3" t="str">
        <f>+EDITABLE!F205</f>
        <v>S/M</v>
      </c>
      <c r="G190" s="5" t="str">
        <f>+EDITABLE!G205</f>
        <v>S/S</v>
      </c>
      <c r="H190" s="3" t="str">
        <f>+EDITABLE!H205</f>
        <v>BODEGA SUMINISTROS</v>
      </c>
      <c r="I190" s="3" t="str">
        <f>+EDITABLE!I205</f>
        <v>BUENO</v>
      </c>
      <c r="J190" s="3" t="str">
        <f>+EDITABLE!J205</f>
        <v>PARA CONFIGURACIÓN DE LOS SENSORES</v>
      </c>
      <c r="K190" s="2">
        <f>+EDITABLE!K205</f>
        <v>200</v>
      </c>
      <c r="L190" s="24">
        <f>+EDITABLE!L205</f>
        <v>44292</v>
      </c>
      <c r="M190">
        <v>16</v>
      </c>
    </row>
    <row r="191" spans="1:13" x14ac:dyDescent="0.25">
      <c r="A191" s="3" t="str">
        <f>CONCATENATE(+EDITABLE!C206," ",H191)</f>
        <v xml:space="preserve"> 0</v>
      </c>
      <c r="B191" s="3" t="str">
        <f>+EDITABLE!A206</f>
        <v/>
      </c>
      <c r="C191" s="6">
        <f>+EDITABLE!B206</f>
        <v>0</v>
      </c>
      <c r="D191" s="3">
        <f>+EDITABLE!D206</f>
        <v>0</v>
      </c>
      <c r="E191" s="3">
        <f>+EDITABLE!E206</f>
        <v>0</v>
      </c>
      <c r="F191" s="3">
        <f>+EDITABLE!F206</f>
        <v>0</v>
      </c>
      <c r="G191" s="5">
        <f>+EDITABLE!G206</f>
        <v>0</v>
      </c>
      <c r="H191" s="3">
        <f>+EDITABLE!H206</f>
        <v>0</v>
      </c>
      <c r="I191" s="3">
        <f>+EDITABLE!I206</f>
        <v>0</v>
      </c>
      <c r="J191" s="3">
        <f>+EDITABLE!J206</f>
        <v>0</v>
      </c>
      <c r="K191" s="2">
        <f>+EDITABLE!K206</f>
        <v>0</v>
      </c>
      <c r="L191" s="24">
        <f>+EDITABLE!L206</f>
        <v>0</v>
      </c>
    </row>
    <row r="192" spans="1:13" x14ac:dyDescent="0.25">
      <c r="A192" s="3" t="str">
        <f>CONCATENATE(+EDITABLE!C207," ",H192)</f>
        <v xml:space="preserve"> 0</v>
      </c>
      <c r="B192" s="3" t="str">
        <f>+EDITABLE!A207</f>
        <v/>
      </c>
      <c r="C192" s="6">
        <f>+EDITABLE!B207</f>
        <v>0</v>
      </c>
      <c r="D192" s="3">
        <f>+EDITABLE!D207</f>
        <v>0</v>
      </c>
      <c r="E192" s="3">
        <f>+EDITABLE!E207</f>
        <v>0</v>
      </c>
      <c r="F192" s="3">
        <f>+EDITABLE!F207</f>
        <v>0</v>
      </c>
      <c r="G192" s="5">
        <f>+EDITABLE!G207</f>
        <v>0</v>
      </c>
      <c r="H192" s="3">
        <f>+EDITABLE!H207</f>
        <v>0</v>
      </c>
      <c r="I192" s="3">
        <f>+EDITABLE!I207</f>
        <v>0</v>
      </c>
      <c r="J192" s="3">
        <f>+EDITABLE!J207</f>
        <v>0</v>
      </c>
      <c r="K192" s="2">
        <f>+EDITABLE!K207</f>
        <v>0</v>
      </c>
      <c r="L192" s="24">
        <f>+EDITABLE!L207</f>
        <v>0</v>
      </c>
    </row>
    <row r="193" spans="1:13" x14ac:dyDescent="0.25">
      <c r="A193" s="3" t="str">
        <f>CONCATENATE(+EDITABLE!C208," ",H193)</f>
        <v xml:space="preserve"> 0</v>
      </c>
      <c r="B193" s="3" t="str">
        <f>+EDITABLE!A208</f>
        <v/>
      </c>
      <c r="C193" s="6">
        <f>+EDITABLE!B208</f>
        <v>0</v>
      </c>
      <c r="D193" s="3">
        <f>+EDITABLE!D208</f>
        <v>0</v>
      </c>
      <c r="E193" s="3">
        <f>+EDITABLE!E208</f>
        <v>0</v>
      </c>
      <c r="F193" s="3">
        <f>+EDITABLE!F208</f>
        <v>0</v>
      </c>
      <c r="G193" s="5">
        <f>+EDITABLE!G208</f>
        <v>0</v>
      </c>
      <c r="H193" s="3">
        <f>+EDITABLE!H208</f>
        <v>0</v>
      </c>
      <c r="I193" s="3">
        <f>+EDITABLE!I208</f>
        <v>0</v>
      </c>
      <c r="J193" s="3">
        <f>+EDITABLE!J208</f>
        <v>0</v>
      </c>
      <c r="K193" s="2">
        <f>+EDITABLE!K208</f>
        <v>0</v>
      </c>
      <c r="L193" s="24">
        <f>+EDITABLE!L208</f>
        <v>0</v>
      </c>
    </row>
    <row r="194" spans="1:13" x14ac:dyDescent="0.25">
      <c r="A194" s="3" t="str">
        <f>CONCATENATE(+EDITABLE!C210," ",H194)</f>
        <v>COMPUTADOR PORTATIL INSPECCIÓN GENERAL</v>
      </c>
      <c r="B194" s="3" t="str">
        <f>+EDITABLE!A210</f>
        <v>COMPINSPECCI</v>
      </c>
      <c r="C194" s="6">
        <f>+EDITABLE!B210</f>
        <v>1</v>
      </c>
      <c r="D194" s="3" t="str">
        <f>+EDITABLE!D210</f>
        <v>PLOMO</v>
      </c>
      <c r="E194" s="3" t="str">
        <f>+EDITABLE!E210</f>
        <v>DELL</v>
      </c>
      <c r="F194" s="3" t="str">
        <f>+EDITABLE!F210</f>
        <v>P89G</v>
      </c>
      <c r="G194" s="5">
        <f>+EDITABLE!G210</f>
        <v>26449622139</v>
      </c>
      <c r="H194" s="3" t="str">
        <f>+EDITABLE!H210</f>
        <v>INSPECCIÓN GENERAL</v>
      </c>
      <c r="I194" s="3" t="str">
        <f>+EDITABLE!I210</f>
        <v>BUENO</v>
      </c>
      <c r="J194" s="3" t="str">
        <f>+EDITABLE!J210</f>
        <v>WINDOWS 11 PRO, PROCESADOR: INTEL ® R CORE TM i5-1035G1 CPU, 1.00 GHZ, RAM 8 GB, 64 BITS, INTERNET WIFI Y CABLE, CABLE DE ENERGIA</v>
      </c>
      <c r="K194" s="2">
        <f>+EDITABLE!K210</f>
        <v>400</v>
      </c>
      <c r="L194" s="24">
        <f>+EDITABLE!L210</f>
        <v>45470</v>
      </c>
      <c r="M194">
        <v>17</v>
      </c>
    </row>
    <row r="195" spans="1:13" x14ac:dyDescent="0.25">
      <c r="A195" s="3" t="str">
        <f>CONCATENATE(+EDITABLE!C211," ",H195)</f>
        <v>BASE TELEFÓNICA INSPECCIÓN GENERAL</v>
      </c>
      <c r="B195" s="3" t="str">
        <f>+EDITABLE!A211</f>
        <v>BASEINSPECCI</v>
      </c>
      <c r="C195" s="6">
        <f>+EDITABLE!B211</f>
        <v>1</v>
      </c>
      <c r="D195" s="3" t="str">
        <f>+EDITABLE!D211</f>
        <v>NEGRO</v>
      </c>
      <c r="E195" s="3" t="str">
        <f>+EDITABLE!E211</f>
        <v>GRANDSTREAM</v>
      </c>
      <c r="F195" s="3" t="str">
        <f>+EDITABLE!F211</f>
        <v>GRP2601P</v>
      </c>
      <c r="G195" s="5" t="str">
        <f>+EDITABLE!G211</f>
        <v>20EZ41MM70628CE2</v>
      </c>
      <c r="H195" s="3" t="str">
        <f>+EDITABLE!H211</f>
        <v>INSPECCIÓN GENERAL</v>
      </c>
      <c r="I195" s="3" t="str">
        <f>+EDITABLE!I211</f>
        <v>BUENO</v>
      </c>
      <c r="J195" s="3" t="str">
        <f>+EDITABLE!J211</f>
        <v>LLAMADAS INTERNAS, CABLE DE CONECCIÓN, CABLE ENERGIA</v>
      </c>
      <c r="K195" s="2">
        <f>+EDITABLE!K211</f>
        <v>20</v>
      </c>
      <c r="L195" s="24">
        <f>+EDITABLE!L211</f>
        <v>44841</v>
      </c>
    </row>
    <row r="196" spans="1:13" x14ac:dyDescent="0.25">
      <c r="A196" s="3" t="str">
        <f>CONCATENATE(+EDITABLE!C212," ",H196)</f>
        <v>IMPRESORA INSPECCIÓN GENERAL</v>
      </c>
      <c r="B196" s="3" t="str">
        <f>+EDITABLE!A212</f>
        <v>IMPRINSPECCI</v>
      </c>
      <c r="C196" s="6">
        <f>+EDITABLE!B212</f>
        <v>1</v>
      </c>
      <c r="D196" s="3" t="str">
        <f>+EDITABLE!D212</f>
        <v>NEGRO</v>
      </c>
      <c r="E196" s="3" t="str">
        <f>+EDITABLE!E212</f>
        <v>EPSON</v>
      </c>
      <c r="F196" s="3" t="str">
        <f>+EDITABLE!F212</f>
        <v>L3150</v>
      </c>
      <c r="G196" s="5" t="str">
        <f>+EDITABLE!G212</f>
        <v>X5E8213728</v>
      </c>
      <c r="H196" s="3" t="str">
        <f>+EDITABLE!H212</f>
        <v>INSPECCIÓN GENERAL</v>
      </c>
      <c r="I196" s="3" t="str">
        <f>+EDITABLE!I212</f>
        <v>BUENO</v>
      </c>
      <c r="J196" s="3" t="str">
        <f>+EDITABLE!J212</f>
        <v>CABKLE DE ENERGIA Y CABLE DE DATOS</v>
      </c>
      <c r="K196" s="2">
        <f>+EDITABLE!K212</f>
        <v>185</v>
      </c>
      <c r="L196" s="24">
        <f>+EDITABLE!L212</f>
        <v>45296</v>
      </c>
    </row>
    <row r="197" spans="1:13" x14ac:dyDescent="0.25">
      <c r="A197" s="3" t="str">
        <f>CONCATENATE(+EDITABLE!C213," ",H197)</f>
        <v>FLASH MEMORY INSPECCIÓN GENERAL</v>
      </c>
      <c r="B197" s="3" t="str">
        <f>+EDITABLE!A213</f>
        <v>FLASINSPECCI</v>
      </c>
      <c r="C197" s="6">
        <f>+EDITABLE!B213</f>
        <v>1</v>
      </c>
      <c r="D197" s="3" t="str">
        <f>+EDITABLE!D213</f>
        <v>NEGRO AZUL</v>
      </c>
      <c r="E197" s="3" t="str">
        <f>+EDITABLE!E213</f>
        <v>KINGSTON</v>
      </c>
      <c r="F197" s="3" t="str">
        <f>+EDITABLE!F213</f>
        <v>S/M</v>
      </c>
      <c r="G197" s="5" t="str">
        <f>+EDITABLE!G213</f>
        <v>S/S</v>
      </c>
      <c r="H197" s="3" t="str">
        <f>+EDITABLE!H213</f>
        <v>INSPECCIÓN GENERAL</v>
      </c>
      <c r="I197" s="3" t="str">
        <f>+EDITABLE!I213</f>
        <v>BUENO</v>
      </c>
      <c r="J197" s="3" t="str">
        <f>+EDITABLE!J213</f>
        <v>USB DE 64 GB</v>
      </c>
      <c r="K197" s="2">
        <f>+EDITABLE!K213</f>
        <v>8</v>
      </c>
      <c r="L197" s="24">
        <f>+EDITABLE!L213</f>
        <v>45296</v>
      </c>
    </row>
    <row r="198" spans="1:13" x14ac:dyDescent="0.25">
      <c r="A198" s="3" t="str">
        <f>CONCATENATE(+EDITABLE!C214," ",H198)</f>
        <v>SWITCH DE INTERNET INSPECCIÓN GENERAL</v>
      </c>
      <c r="B198" s="3" t="str">
        <f>+EDITABLE!A214</f>
        <v>SWITINSPECCI</v>
      </c>
      <c r="C198" s="6">
        <f>+EDITABLE!B214</f>
        <v>1</v>
      </c>
      <c r="D198" s="3" t="str">
        <f>+EDITABLE!D214</f>
        <v>AZUL</v>
      </c>
      <c r="E198" s="3" t="str">
        <f>+EDITABLE!E214</f>
        <v>GENERICO</v>
      </c>
      <c r="F198" s="3" t="str">
        <f>+EDITABLE!F214</f>
        <v>S/M</v>
      </c>
      <c r="G198" s="5" t="str">
        <f>+EDITABLE!G214</f>
        <v>S/S</v>
      </c>
      <c r="H198" s="3" t="str">
        <f>+EDITABLE!H214</f>
        <v>INSPECCIÓN GENERAL</v>
      </c>
      <c r="I198" s="3" t="str">
        <f>+EDITABLE!I214</f>
        <v>BUENO</v>
      </c>
      <c r="J198" s="3" t="str">
        <f>+EDITABLE!J214</f>
        <v>DE 5 PUERTOS RJ45, TIPO DE COMUNICACIÓN STORE AND FORWARD</v>
      </c>
      <c r="K198" s="2">
        <f>+EDITABLE!K214</f>
        <v>22</v>
      </c>
      <c r="L198" s="24">
        <f>+EDITABLE!L214</f>
        <v>45288</v>
      </c>
    </row>
    <row r="199" spans="1:13" x14ac:dyDescent="0.25">
      <c r="A199" s="3" t="str">
        <f>CONCATENATE(+EDITABLE!C215," ",H199)</f>
        <v>MOUSE INSPECCIÓN GENERAL</v>
      </c>
      <c r="B199" s="3" t="str">
        <f>+EDITABLE!A215</f>
        <v>MOUSINSPECCI</v>
      </c>
      <c r="C199" s="6">
        <f>+EDITABLE!B215</f>
        <v>1</v>
      </c>
      <c r="D199" s="3" t="str">
        <f>+EDITABLE!D215</f>
        <v>NEGRO, TRASPARENTE</v>
      </c>
      <c r="E199" s="3" t="str">
        <f>+EDITABLE!E215</f>
        <v>INS</v>
      </c>
      <c r="F199" s="3" t="str">
        <f>+EDITABLE!F215</f>
        <v>S/M</v>
      </c>
      <c r="G199" s="5" t="str">
        <f>+EDITABLE!G215</f>
        <v>S/S</v>
      </c>
      <c r="H199" s="3" t="str">
        <f>+EDITABLE!H215</f>
        <v>INSPECCIÓN GENERAL</v>
      </c>
      <c r="I199" s="3" t="str">
        <f>+EDITABLE!I215</f>
        <v>BUENO</v>
      </c>
      <c r="J199" s="3" t="str">
        <f>+EDITABLE!J215</f>
        <v>ALAMBRICO, LED, OPTICO</v>
      </c>
      <c r="K199" s="2">
        <f>+EDITABLE!K215</f>
        <v>5</v>
      </c>
      <c r="L199" s="24">
        <f>+EDITABLE!L215</f>
        <v>45288</v>
      </c>
    </row>
    <row r="200" spans="1:13" x14ac:dyDescent="0.25">
      <c r="A200" s="3" t="str">
        <f>CONCATENATE(+EDITABLE!C216," ",H200)</f>
        <v xml:space="preserve"> 0</v>
      </c>
      <c r="B200" s="3" t="str">
        <f>+EDITABLE!A216</f>
        <v/>
      </c>
      <c r="C200" s="6">
        <f>+EDITABLE!B216</f>
        <v>0</v>
      </c>
      <c r="D200" s="3">
        <f>+EDITABLE!D216</f>
        <v>0</v>
      </c>
      <c r="E200" s="3">
        <f>+EDITABLE!E216</f>
        <v>0</v>
      </c>
      <c r="F200" s="3">
        <f>+EDITABLE!F216</f>
        <v>0</v>
      </c>
      <c r="G200" s="5">
        <f>+EDITABLE!G216</f>
        <v>0</v>
      </c>
      <c r="H200" s="3">
        <f>+EDITABLE!H216</f>
        <v>0</v>
      </c>
      <c r="I200" s="3">
        <f>+EDITABLE!I216</f>
        <v>0</v>
      </c>
      <c r="J200" s="3">
        <f>+EDITABLE!J216</f>
        <v>0</v>
      </c>
      <c r="K200" s="2">
        <f>+EDITABLE!K216</f>
        <v>0</v>
      </c>
      <c r="L200" s="24">
        <f>+EDITABLE!L216</f>
        <v>0</v>
      </c>
    </row>
    <row r="201" spans="1:13" x14ac:dyDescent="0.25">
      <c r="A201" s="3" t="str">
        <f>CONCATENATE(+EDITABLE!C217," ",H201)</f>
        <v xml:space="preserve"> 0</v>
      </c>
      <c r="B201" s="3" t="str">
        <f>+EDITABLE!A217</f>
        <v/>
      </c>
      <c r="C201" s="6">
        <f>+EDITABLE!B217</f>
        <v>0</v>
      </c>
      <c r="D201" s="3">
        <f>+EDITABLE!D217</f>
        <v>0</v>
      </c>
      <c r="E201" s="3">
        <f>+EDITABLE!E217</f>
        <v>0</v>
      </c>
      <c r="F201" s="3">
        <f>+EDITABLE!F217</f>
        <v>0</v>
      </c>
      <c r="G201" s="5">
        <f>+EDITABLE!G217</f>
        <v>0</v>
      </c>
      <c r="H201" s="3">
        <f>+EDITABLE!H217</f>
        <v>0</v>
      </c>
      <c r="I201" s="3">
        <f>+EDITABLE!I217</f>
        <v>0</v>
      </c>
      <c r="J201" s="3">
        <f>+EDITABLE!J217</f>
        <v>0</v>
      </c>
      <c r="K201" s="2">
        <f>+EDITABLE!K217</f>
        <v>0</v>
      </c>
      <c r="L201" s="24">
        <f>+EDITABLE!L217</f>
        <v>0</v>
      </c>
    </row>
    <row r="202" spans="1:13" x14ac:dyDescent="0.25">
      <c r="A202" s="3" t="str">
        <f>CONCATENATE(+EDITABLE!C218," ",H202)</f>
        <v xml:space="preserve"> 0</v>
      </c>
      <c r="B202" s="3" t="str">
        <f>+EDITABLE!A218</f>
        <v/>
      </c>
      <c r="C202" s="6">
        <f>+EDITABLE!B218</f>
        <v>0</v>
      </c>
      <c r="D202" s="3">
        <f>+EDITABLE!D218</f>
        <v>0</v>
      </c>
      <c r="E202" s="3">
        <f>+EDITABLE!E218</f>
        <v>0</v>
      </c>
      <c r="F202" s="3">
        <f>+EDITABLE!F218</f>
        <v>0</v>
      </c>
      <c r="G202" s="5">
        <f>+EDITABLE!G218</f>
        <v>0</v>
      </c>
      <c r="H202" s="3">
        <f>+EDITABLE!H218</f>
        <v>0</v>
      </c>
      <c r="I202" s="3">
        <f>+EDITABLE!I218</f>
        <v>0</v>
      </c>
      <c r="J202" s="3">
        <f>+EDITABLE!J218</f>
        <v>0</v>
      </c>
      <c r="K202" s="2">
        <f>+EDITABLE!K218</f>
        <v>0</v>
      </c>
      <c r="L202" s="24">
        <f>+EDITABLE!L218</f>
        <v>0</v>
      </c>
    </row>
    <row r="203" spans="1:13" x14ac:dyDescent="0.25">
      <c r="A203" s="3" t="str">
        <f>CONCATENATE(+EDITABLE!C220," ",H203)</f>
        <v>REGULADOR DE VOLTAJE SECRETARIA GENERAL</v>
      </c>
      <c r="B203" s="3" t="str">
        <f>+EDITABLE!A220</f>
        <v>REGUSECRETAR</v>
      </c>
      <c r="C203" s="6">
        <f>+EDITABLE!B220</f>
        <v>1</v>
      </c>
      <c r="D203" s="3" t="str">
        <f>+EDITABLE!D220</f>
        <v>NEGRO</v>
      </c>
      <c r="E203" s="3" t="str">
        <f>+EDITABLE!E220</f>
        <v>INS</v>
      </c>
      <c r="F203" s="3" t="str">
        <f>+EDITABLE!F220</f>
        <v>AVRINS2000VA</v>
      </c>
      <c r="G203" s="5" t="str">
        <f>+EDITABLE!G220</f>
        <v>19C04206298</v>
      </c>
      <c r="H203" s="3" t="str">
        <f>+EDITABLE!H220</f>
        <v>SECRETARIA GENERAL</v>
      </c>
      <c r="I203" s="3" t="str">
        <f>+EDITABLE!I220</f>
        <v>BUENO</v>
      </c>
      <c r="J203" s="3" t="str">
        <f>+EDITABLE!J220</f>
        <v>DE 8 TOMAS, 2000va</v>
      </c>
      <c r="K203" s="2">
        <f>+EDITABLE!K220</f>
        <v>17</v>
      </c>
      <c r="L203" s="24">
        <f>+EDITABLE!L220</f>
        <v>44292</v>
      </c>
      <c r="M203">
        <v>18</v>
      </c>
    </row>
    <row r="204" spans="1:13" x14ac:dyDescent="0.25">
      <c r="A204" s="3" t="str">
        <f>CONCATENATE(+EDITABLE!C221," ",H204)</f>
        <v>BASE TELEFÓNICA SECRETARIA GENERAL</v>
      </c>
      <c r="B204" s="3" t="str">
        <f>+EDITABLE!A221</f>
        <v>BASESECRETAR</v>
      </c>
      <c r="C204" s="6">
        <f>+EDITABLE!B221</f>
        <v>1</v>
      </c>
      <c r="D204" s="3" t="str">
        <f>+EDITABLE!D221</f>
        <v>NEGRO</v>
      </c>
      <c r="E204" s="3" t="str">
        <f>+EDITABLE!E221</f>
        <v>GRANDSTREAM</v>
      </c>
      <c r="F204" s="3" t="str">
        <f>+EDITABLE!F221</f>
        <v>GRP2601P</v>
      </c>
      <c r="G204" s="5" t="str">
        <f>+EDITABLE!G221</f>
        <v>20EZ41MM70628CE2</v>
      </c>
      <c r="H204" s="3" t="str">
        <f>+EDITABLE!H221</f>
        <v>SECRETARIA GENERAL</v>
      </c>
      <c r="I204" s="3" t="str">
        <f>+EDITABLE!I221</f>
        <v>BUENO</v>
      </c>
      <c r="J204" s="3" t="str">
        <f>+EDITABLE!J221</f>
        <v>LLAMADAS INTERNAS, CABLE DE CONECCIÓN, CABLE ENERGIA</v>
      </c>
      <c r="K204" s="2">
        <f>+EDITABLE!K221</f>
        <v>20</v>
      </c>
      <c r="L204" s="24">
        <f>+EDITABLE!L221</f>
        <v>44841</v>
      </c>
    </row>
    <row r="205" spans="1:13" x14ac:dyDescent="0.25">
      <c r="A205" s="3" t="str">
        <f>CONCATENATE(+EDITABLE!C222," ",H205)</f>
        <v>IMPRESORA SECRETARIA GENERAL</v>
      </c>
      <c r="B205" s="3" t="str">
        <f>+EDITABLE!A222</f>
        <v>IMPRSECRETAR</v>
      </c>
      <c r="C205" s="6">
        <f>+EDITABLE!B222</f>
        <v>1</v>
      </c>
      <c r="D205" s="3" t="str">
        <f>+EDITABLE!D222</f>
        <v>NEGRO</v>
      </c>
      <c r="E205" s="3" t="str">
        <f>+EDITABLE!E222</f>
        <v>EPSON</v>
      </c>
      <c r="F205" s="3" t="str">
        <f>+EDITABLE!F222</f>
        <v>L3150</v>
      </c>
      <c r="G205" s="5" t="str">
        <f>+EDITABLE!G222</f>
        <v>X5E8213735</v>
      </c>
      <c r="H205" s="3" t="str">
        <f>+EDITABLE!H222</f>
        <v>SECRETARIA GENERAL</v>
      </c>
      <c r="I205" s="3" t="str">
        <f>+EDITABLE!I222</f>
        <v>BUENO</v>
      </c>
      <c r="J205" s="3" t="str">
        <f>+EDITABLE!J222</f>
        <v>CON TINTA CONTINUA A COLORES CABLE DE DATOS Y CABLE DE ENERGIA</v>
      </c>
      <c r="K205" s="2">
        <f>+EDITABLE!K222</f>
        <v>185</v>
      </c>
      <c r="L205" s="24">
        <f>+EDITABLE!L222</f>
        <v>44375</v>
      </c>
    </row>
    <row r="206" spans="1:13" x14ac:dyDescent="0.25">
      <c r="A206" s="3" t="str">
        <f>CONCATENATE(+EDITABLE!C223," ",H206)</f>
        <v>DISCO DURO EXTERNO SECRETARIA GENERAL</v>
      </c>
      <c r="B206" s="3" t="str">
        <f>+EDITABLE!A223</f>
        <v>DISCSECRETAR</v>
      </c>
      <c r="C206" s="6">
        <f>+EDITABLE!B223</f>
        <v>2</v>
      </c>
      <c r="D206" s="3" t="str">
        <f>+EDITABLE!D223</f>
        <v>GRIS</v>
      </c>
      <c r="E206" s="3" t="str">
        <f>+EDITABLE!E223</f>
        <v>DELL</v>
      </c>
      <c r="F206" s="3" t="str">
        <f>+EDITABLE!F223</f>
        <v>EXOS 7E2</v>
      </c>
      <c r="G206" s="5" t="str">
        <f>+EDITABLE!G223</f>
        <v>ZDS0J5VZ/ZDS0J5C5</v>
      </c>
      <c r="H206" s="3" t="str">
        <f>+EDITABLE!H223</f>
        <v>SECRETARIA GENERAL</v>
      </c>
      <c r="I206" s="3" t="str">
        <f>+EDITABLE!I223</f>
        <v>BUENO</v>
      </c>
      <c r="J206" s="3" t="str">
        <f>+EDITABLE!J223</f>
        <v>RESPALDOS DE INFORMACIÓN</v>
      </c>
      <c r="K206" s="2">
        <f>+EDITABLE!K223</f>
        <v>100</v>
      </c>
      <c r="L206" s="24">
        <f>+EDITABLE!L223</f>
        <v>44616</v>
      </c>
    </row>
    <row r="207" spans="1:13" x14ac:dyDescent="0.25">
      <c r="A207" s="3" t="str">
        <f>CONCATENATE(+EDITABLE!C224," ",H207)</f>
        <v>CORTA PICOS SECRETARIA GENERAL</v>
      </c>
      <c r="B207" s="3" t="str">
        <f>+EDITABLE!A224</f>
        <v>CORTSECRETAR</v>
      </c>
      <c r="C207" s="6">
        <f>+EDITABLE!B224</f>
        <v>1</v>
      </c>
      <c r="D207" s="3" t="str">
        <f>+EDITABLE!D224</f>
        <v>NEGRA</v>
      </c>
      <c r="E207" s="3" t="str">
        <f>+EDITABLE!E224</f>
        <v>VOLTECH</v>
      </c>
      <c r="F207" s="3" t="str">
        <f>+EDITABLE!F224</f>
        <v>MUL-6E</v>
      </c>
      <c r="G207" s="5" t="str">
        <f>+EDITABLE!G224</f>
        <v>S/S</v>
      </c>
      <c r="H207" s="3" t="str">
        <f>+EDITABLE!H224</f>
        <v>SECRETARIA GENERAL</v>
      </c>
      <c r="I207" s="3" t="str">
        <f>+EDITABLE!I224</f>
        <v>BUENO</v>
      </c>
      <c r="J207" s="3" t="str">
        <f>+EDITABLE!J224</f>
        <v>DE 6 TOMAS</v>
      </c>
      <c r="K207" s="2">
        <f>+EDITABLE!K224</f>
        <v>10</v>
      </c>
      <c r="L207" s="24">
        <f>+EDITABLE!L224</f>
        <v>44292</v>
      </c>
    </row>
    <row r="208" spans="1:13" x14ac:dyDescent="0.25">
      <c r="A208" s="3" t="str">
        <f>CONCATENATE(+EDITABLE!C225," ",H208)</f>
        <v>REGULADOR DE VOLTAJE SECRETARIA GENERAL</v>
      </c>
      <c r="B208" s="3" t="str">
        <f>+EDITABLE!A225</f>
        <v>REGUSECRETAR</v>
      </c>
      <c r="C208" s="6">
        <f>+EDITABLE!B225</f>
        <v>1</v>
      </c>
      <c r="D208" s="3" t="str">
        <f>+EDITABLE!D225</f>
        <v>NEGRO</v>
      </c>
      <c r="E208" s="3" t="str">
        <f>+EDITABLE!E225</f>
        <v>APEX</v>
      </c>
      <c r="F208" s="3" t="str">
        <f>+EDITABLE!F225</f>
        <v>AVR1500M</v>
      </c>
      <c r="G208" s="5">
        <f>+EDITABLE!G225</f>
        <v>92900971</v>
      </c>
      <c r="H208" s="3" t="str">
        <f>+EDITABLE!H225</f>
        <v>SECRETARIA GENERAL</v>
      </c>
      <c r="I208" s="3" t="str">
        <f>+EDITABLE!I225</f>
        <v>BUENO</v>
      </c>
      <c r="J208" s="3" t="str">
        <f>+EDITABLE!J225</f>
        <v>DE 8 TOMAS Y DOS TOMAS RJ 11 DE TELÉFONO, 1000va</v>
      </c>
      <c r="K208" s="2">
        <f>+EDITABLE!K225</f>
        <v>17</v>
      </c>
      <c r="L208" s="24">
        <f>+EDITABLE!L225</f>
        <v>44292</v>
      </c>
    </row>
    <row r="209" spans="1:13" x14ac:dyDescent="0.25">
      <c r="A209" s="3" t="str">
        <f>CONCATENATE(+EDITABLE!C226," ",H209)</f>
        <v>TVBOX SECRETARIA GENERAL</v>
      </c>
      <c r="B209" s="3" t="str">
        <f>+EDITABLE!A226</f>
        <v>TVBOSECRETAR</v>
      </c>
      <c r="C209" s="6">
        <f>+EDITABLE!B226</f>
        <v>1</v>
      </c>
      <c r="D209" s="3" t="str">
        <f>+EDITABLE!D226</f>
        <v>NEGRO</v>
      </c>
      <c r="E209" s="3" t="str">
        <f>+EDITABLE!E226</f>
        <v>TVBOX</v>
      </c>
      <c r="F209" s="3" t="str">
        <f>+EDITABLE!F226</f>
        <v>MXPRO4K</v>
      </c>
      <c r="G209" s="5" t="str">
        <f>+EDITABLE!G226</f>
        <v>54011b1daf1f</v>
      </c>
      <c r="H209" s="3" t="str">
        <f>+EDITABLE!H226</f>
        <v>SECRETARIA GENERAL</v>
      </c>
      <c r="I209" s="3" t="str">
        <f>+EDITABLE!I226</f>
        <v>BUENO</v>
      </c>
      <c r="J209" s="3" t="str">
        <f>+EDITABLE!J226</f>
        <v>TIPO DE CONTROL REMOTO DE VOZ, CONECTIVIDAD WIFI Y BLUETOOTH,INTERFAZ DE CONEXIÓN AV, PUERTO: DC JACK.</v>
      </c>
      <c r="K209" s="2">
        <f>+EDITABLE!K226</f>
        <v>70</v>
      </c>
      <c r="L209" s="24">
        <f>+EDITABLE!L226</f>
        <v>45426</v>
      </c>
    </row>
    <row r="210" spans="1:13" x14ac:dyDescent="0.25">
      <c r="A210" s="3" t="str">
        <f>CONCATENATE(+EDITABLE!C227," ",H210)</f>
        <v>TELEVISIÓN PLASMA SECRETARIA GENERAL</v>
      </c>
      <c r="B210" s="3" t="str">
        <f>+EDITABLE!A227</f>
        <v>TELESECRETAR</v>
      </c>
      <c r="C210" s="6">
        <f>+EDITABLE!B227</f>
        <v>1</v>
      </c>
      <c r="D210" s="3" t="str">
        <f>+EDITABLE!D227</f>
        <v>GRIS</v>
      </c>
      <c r="E210" s="3" t="str">
        <f>+EDITABLE!E227</f>
        <v>SAMSUNG</v>
      </c>
      <c r="F210" s="3" t="str">
        <f>+EDITABLE!F227</f>
        <v>UN70BU8000KXZL</v>
      </c>
      <c r="G210" s="5" t="str">
        <f>+EDITABLE!G227</f>
        <v>0DG43CCT400730E</v>
      </c>
      <c r="H210" s="3" t="str">
        <f>+EDITABLE!H227</f>
        <v>SECRETARIA GENERAL</v>
      </c>
      <c r="I210" s="3" t="str">
        <f>+EDITABLE!I227</f>
        <v>BUENO</v>
      </c>
      <c r="J210" s="3" t="str">
        <f>+EDITABLE!J227</f>
        <v>PLASMA DE 70", CONECTIVIDAD WIFI, USB Y HDMI</v>
      </c>
      <c r="K210" s="2">
        <f>+EDITABLE!K227</f>
        <v>1800</v>
      </c>
      <c r="L210" s="24">
        <f>+EDITABLE!L227</f>
        <v>44873</v>
      </c>
    </row>
    <row r="211" spans="1:13" x14ac:dyDescent="0.25">
      <c r="A211" s="3" t="str">
        <f>CONCATENATE(+EDITABLE!C228," ",H211)</f>
        <v>CONTROL REMOTO SECRETARIA GENERAL</v>
      </c>
      <c r="B211" s="3" t="str">
        <f>+EDITABLE!A228</f>
        <v>CONTSECRETAR</v>
      </c>
      <c r="C211" s="6">
        <f>+EDITABLE!B228</f>
        <v>1</v>
      </c>
      <c r="D211" s="3" t="str">
        <f>+EDITABLE!D228</f>
        <v>NEGRO</v>
      </c>
      <c r="E211" s="3" t="str">
        <f>+EDITABLE!E228</f>
        <v>SAMSUNG</v>
      </c>
      <c r="F211" s="3" t="str">
        <f>+EDITABLE!F228</f>
        <v>S/M</v>
      </c>
      <c r="G211" s="5" t="str">
        <f>+EDITABLE!G228</f>
        <v>S/S</v>
      </c>
      <c r="H211" s="3" t="str">
        <f>+EDITABLE!H228</f>
        <v>SECRETARIA GENERAL</v>
      </c>
      <c r="I211" s="3" t="str">
        <f>+EDITABLE!I228</f>
        <v>BUENO</v>
      </c>
      <c r="J211" s="3" t="str">
        <f>+EDITABLE!J228</f>
        <v>CONTROL Y MANEJO DE LA TV</v>
      </c>
      <c r="K211" s="2">
        <f>+EDITABLE!K228</f>
        <v>16</v>
      </c>
      <c r="L211" s="24">
        <f>+EDITABLE!L228</f>
        <v>45471</v>
      </c>
    </row>
    <row r="212" spans="1:13" x14ac:dyDescent="0.25">
      <c r="A212" s="3" t="str">
        <f>CONCATENATE(+EDITABLE!C229," ",H212)</f>
        <v>CONTROL REMOTO SECRETARIA GENERAL</v>
      </c>
      <c r="B212" s="3" t="str">
        <f>+EDITABLE!A229</f>
        <v>CONTSECRETAR</v>
      </c>
      <c r="C212" s="6">
        <f>+EDITABLE!B229</f>
        <v>1</v>
      </c>
      <c r="D212" s="3" t="str">
        <f>+EDITABLE!D229</f>
        <v>NEGRO</v>
      </c>
      <c r="E212" s="3" t="str">
        <f>+EDITABLE!E229</f>
        <v>TVBOX</v>
      </c>
      <c r="F212" s="3" t="str">
        <f>+EDITABLE!F229</f>
        <v>S/M</v>
      </c>
      <c r="G212" s="5" t="str">
        <f>+EDITABLE!G229</f>
        <v>S/S</v>
      </c>
      <c r="H212" s="3" t="str">
        <f>+EDITABLE!H229</f>
        <v>SECRETARIA GENERAL</v>
      </c>
      <c r="I212" s="3" t="str">
        <f>+EDITABLE!I229</f>
        <v>BUENO</v>
      </c>
      <c r="J212" s="3" t="str">
        <f>+EDITABLE!J229</f>
        <v>CONTROL DEL TVBOX</v>
      </c>
      <c r="K212" s="2">
        <f>+EDITABLE!K229</f>
        <v>10</v>
      </c>
      <c r="L212" s="24">
        <f>+EDITABLE!L229</f>
        <v>45426</v>
      </c>
    </row>
    <row r="213" spans="1:13" x14ac:dyDescent="0.25">
      <c r="A213" s="3" t="str">
        <f>CONCATENATE(+EDITABLE!C230," ",H213)</f>
        <v>SENSOR DE ALARMA SECRETARIA GENERAL</v>
      </c>
      <c r="B213" s="3" t="str">
        <f>+EDITABLE!A230</f>
        <v>SENSSECRETAR</v>
      </c>
      <c r="C213" s="6">
        <f>+EDITABLE!B230</f>
        <v>1</v>
      </c>
      <c r="D213" s="3" t="str">
        <f>+EDITABLE!D230</f>
        <v>BLANCO</v>
      </c>
      <c r="E213" s="3" t="str">
        <f>+EDITABLE!E230</f>
        <v>DSC</v>
      </c>
      <c r="F213" s="3" t="str">
        <f>+EDITABLE!F230</f>
        <v>LC-100PI</v>
      </c>
      <c r="G213" s="5">
        <f>+EDITABLE!G230</f>
        <v>88030080</v>
      </c>
      <c r="H213" s="3" t="str">
        <f>+EDITABLE!H230</f>
        <v>SECRETARIA GENERAL</v>
      </c>
      <c r="I213" s="3" t="str">
        <f>+EDITABLE!I230</f>
        <v>BUENO</v>
      </c>
      <c r="J213" s="3" t="str">
        <f>+EDITABLE!J230</f>
        <v>CONECTADA AL SISTEMA DE ALARMAS</v>
      </c>
      <c r="K213" s="2">
        <f>+EDITABLE!K230</f>
        <v>20</v>
      </c>
      <c r="L213" s="24">
        <f>+EDITABLE!L230</f>
        <v>44841</v>
      </c>
    </row>
    <row r="214" spans="1:13" x14ac:dyDescent="0.25">
      <c r="A214" s="3" t="str">
        <f>CONCATENATE(+EDITABLE!C231," ",H214)</f>
        <v xml:space="preserve"> 0</v>
      </c>
      <c r="B214" s="3" t="str">
        <f>+EDITABLE!A231</f>
        <v/>
      </c>
      <c r="C214" s="6">
        <f>+EDITABLE!B231</f>
        <v>0</v>
      </c>
      <c r="D214" s="3">
        <f>+EDITABLE!D231</f>
        <v>0</v>
      </c>
      <c r="E214" s="3">
        <f>+EDITABLE!E231</f>
        <v>0</v>
      </c>
      <c r="F214" s="3">
        <f>+EDITABLE!F231</f>
        <v>0</v>
      </c>
      <c r="G214" s="5">
        <f>+EDITABLE!G231</f>
        <v>0</v>
      </c>
      <c r="H214" s="3">
        <f>+EDITABLE!H231</f>
        <v>0</v>
      </c>
      <c r="I214" s="3">
        <f>+EDITABLE!I231</f>
        <v>0</v>
      </c>
      <c r="J214" s="3">
        <f>+EDITABLE!J231</f>
        <v>0</v>
      </c>
      <c r="K214" s="2">
        <f>+EDITABLE!K231</f>
        <v>0</v>
      </c>
      <c r="L214" s="24">
        <f>+EDITABLE!L231</f>
        <v>0</v>
      </c>
    </row>
    <row r="215" spans="1:13" x14ac:dyDescent="0.25">
      <c r="A215" s="3" t="str">
        <f>CONCATENATE(+EDITABLE!C232," ",H215)</f>
        <v xml:space="preserve"> 0</v>
      </c>
      <c r="B215" s="3" t="str">
        <f>+EDITABLE!A232</f>
        <v/>
      </c>
      <c r="C215" s="6">
        <f>+EDITABLE!B232</f>
        <v>0</v>
      </c>
      <c r="D215" s="3">
        <f>+EDITABLE!D232</f>
        <v>0</v>
      </c>
      <c r="E215" s="3">
        <f>+EDITABLE!E232</f>
        <v>0</v>
      </c>
      <c r="F215" s="3">
        <f>+EDITABLE!F232</f>
        <v>0</v>
      </c>
      <c r="G215" s="5">
        <f>+EDITABLE!G232</f>
        <v>0</v>
      </c>
      <c r="H215" s="3">
        <f>+EDITABLE!H232</f>
        <v>0</v>
      </c>
      <c r="I215" s="3">
        <f>+EDITABLE!I232</f>
        <v>0</v>
      </c>
      <c r="J215" s="3">
        <f>+EDITABLE!J232</f>
        <v>0</v>
      </c>
      <c r="K215" s="2">
        <f>+EDITABLE!K232</f>
        <v>0</v>
      </c>
      <c r="L215" s="24">
        <f>+EDITABLE!L232</f>
        <v>0</v>
      </c>
    </row>
    <row r="216" spans="1:13" x14ac:dyDescent="0.25">
      <c r="A216" s="3" t="str">
        <f>CONCATENATE(+EDITABLE!C233," ",H216)</f>
        <v xml:space="preserve"> 0</v>
      </c>
      <c r="B216" s="3" t="str">
        <f>+EDITABLE!A233</f>
        <v/>
      </c>
      <c r="C216" s="6">
        <f>+EDITABLE!B233</f>
        <v>0</v>
      </c>
      <c r="D216" s="3">
        <f>+EDITABLE!D233</f>
        <v>0</v>
      </c>
      <c r="E216" s="3">
        <f>+EDITABLE!E233</f>
        <v>0</v>
      </c>
      <c r="F216" s="3">
        <f>+EDITABLE!F233</f>
        <v>0</v>
      </c>
      <c r="G216" s="5">
        <f>+EDITABLE!G233</f>
        <v>0</v>
      </c>
      <c r="H216" s="3">
        <f>+EDITABLE!H233</f>
        <v>0</v>
      </c>
      <c r="I216" s="3">
        <f>+EDITABLE!I233</f>
        <v>0</v>
      </c>
      <c r="J216" s="3">
        <f>+EDITABLE!J233</f>
        <v>0</v>
      </c>
      <c r="K216" s="2">
        <f>+EDITABLE!K233</f>
        <v>0</v>
      </c>
      <c r="L216" s="24">
        <f>+EDITABLE!L233</f>
        <v>0</v>
      </c>
    </row>
    <row r="217" spans="1:13" x14ac:dyDescent="0.25">
      <c r="A217" s="3" t="str">
        <f>CONCATENATE(+EDITABLE!C235," ",H217)</f>
        <v>CAJETIN DE RED-1 LABORATORIO COMPUTACIÓN</v>
      </c>
      <c r="B217" s="3" t="str">
        <f>+EDITABLE!A235</f>
        <v>CAJELABORATO</v>
      </c>
      <c r="C217" s="6">
        <f>+EDITABLE!B235</f>
        <v>1</v>
      </c>
      <c r="D217" s="3" t="str">
        <f>+EDITABLE!D235</f>
        <v>BLANCO</v>
      </c>
      <c r="E217" s="3" t="str">
        <f>+EDITABLE!E235</f>
        <v>S/M</v>
      </c>
      <c r="F217" s="3" t="str">
        <f>+EDITABLE!F235</f>
        <v>S/M</v>
      </c>
      <c r="G217" s="5" t="str">
        <f>+EDITABLE!G235</f>
        <v>S/M</v>
      </c>
      <c r="H217" s="3" t="str">
        <f>+EDITABLE!H235</f>
        <v>LABORATORIO COMPUTACIÓN</v>
      </c>
      <c r="I217" s="3" t="str">
        <f>+EDITABLE!I235</f>
        <v>BUENO</v>
      </c>
      <c r="J217" s="3" t="str">
        <f>+EDITABLE!J235</f>
        <v>DOS TOMAS PARA RJ45</v>
      </c>
      <c r="K217" s="2">
        <f>+EDITABLE!K235</f>
        <v>5</v>
      </c>
      <c r="L217" s="24">
        <f>+EDITABLE!L235</f>
        <v>45288</v>
      </c>
      <c r="M217">
        <v>19</v>
      </c>
    </row>
    <row r="218" spans="1:13" x14ac:dyDescent="0.25">
      <c r="A218" s="3" t="str">
        <f>CONCATENATE(+EDITABLE!C236," ",H218)</f>
        <v>CAJETIN DE RED-2 LABORATORIO COMPUTACIÓN</v>
      </c>
      <c r="B218" s="3" t="str">
        <f>+EDITABLE!A236</f>
        <v>CAJELABORATO</v>
      </c>
      <c r="C218" s="6">
        <f>+EDITABLE!B236</f>
        <v>1</v>
      </c>
      <c r="D218" s="3" t="str">
        <f>+EDITABLE!D236</f>
        <v>BLANCO</v>
      </c>
      <c r="E218" s="3" t="str">
        <f>+EDITABLE!E236</f>
        <v>S/M</v>
      </c>
      <c r="F218" s="3" t="str">
        <f>+EDITABLE!F236</f>
        <v>S/M</v>
      </c>
      <c r="G218" s="5" t="str">
        <f>+EDITABLE!G236</f>
        <v>S/M</v>
      </c>
      <c r="H218" s="3" t="str">
        <f>+EDITABLE!H236</f>
        <v>LABORATORIO COMPUTACIÓN</v>
      </c>
      <c r="I218" s="3" t="str">
        <f>+EDITABLE!I236</f>
        <v>BUENO</v>
      </c>
      <c r="J218" s="3" t="str">
        <f>+EDITABLE!J236</f>
        <v>DOS TOMAS PARA RJ46</v>
      </c>
      <c r="K218" s="2">
        <f>+EDITABLE!K236</f>
        <v>5</v>
      </c>
      <c r="L218" s="24">
        <f>+EDITABLE!L236</f>
        <v>45288</v>
      </c>
    </row>
    <row r="219" spans="1:13" x14ac:dyDescent="0.25">
      <c r="A219" s="3" t="str">
        <f>CONCATENATE(+EDITABLE!C237," ",H219)</f>
        <v>CAJETIN DE RED-3 LABORATORIO COMPUTACIÓN</v>
      </c>
      <c r="B219" s="3" t="str">
        <f>+EDITABLE!A237</f>
        <v>CAJELABORATO</v>
      </c>
      <c r="C219" s="6">
        <f>+EDITABLE!B237</f>
        <v>1</v>
      </c>
      <c r="D219" s="3" t="str">
        <f>+EDITABLE!D237</f>
        <v>BLANCO</v>
      </c>
      <c r="E219" s="3" t="str">
        <f>+EDITABLE!E237</f>
        <v>S/M</v>
      </c>
      <c r="F219" s="3" t="str">
        <f>+EDITABLE!F237</f>
        <v>S/M</v>
      </c>
      <c r="G219" s="5" t="str">
        <f>+EDITABLE!G237</f>
        <v>S/M</v>
      </c>
      <c r="H219" s="3" t="str">
        <f>+EDITABLE!H237</f>
        <v>LABORATORIO COMPUTACIÓN</v>
      </c>
      <c r="I219" s="3" t="str">
        <f>+EDITABLE!I237</f>
        <v>BUENO</v>
      </c>
      <c r="J219" s="3" t="str">
        <f>+EDITABLE!J237</f>
        <v>DOS TOMAS PARA RJ47</v>
      </c>
      <c r="K219" s="2">
        <f>+EDITABLE!K237</f>
        <v>5</v>
      </c>
      <c r="L219" s="24">
        <f>+EDITABLE!L237</f>
        <v>45288</v>
      </c>
    </row>
    <row r="220" spans="1:13" x14ac:dyDescent="0.25">
      <c r="A220" s="3" t="str">
        <f>CONCATENATE(+EDITABLE!C238," ",H220)</f>
        <v>CAJETIN DE RED-4 LABORATORIO COMPUTACIÓN</v>
      </c>
      <c r="B220" s="3" t="str">
        <f>+EDITABLE!A238</f>
        <v>CAJELABORATO</v>
      </c>
      <c r="C220" s="6">
        <f>+EDITABLE!B238</f>
        <v>1</v>
      </c>
      <c r="D220" s="3" t="str">
        <f>+EDITABLE!D238</f>
        <v>BLANCO</v>
      </c>
      <c r="E220" s="3" t="str">
        <f>+EDITABLE!E238</f>
        <v>S/M</v>
      </c>
      <c r="F220" s="3" t="str">
        <f>+EDITABLE!F238</f>
        <v>S/M</v>
      </c>
      <c r="G220" s="5" t="str">
        <f>+EDITABLE!G238</f>
        <v>S/M</v>
      </c>
      <c r="H220" s="3" t="str">
        <f>+EDITABLE!H238</f>
        <v>LABORATORIO COMPUTACIÓN</v>
      </c>
      <c r="I220" s="3" t="str">
        <f>+EDITABLE!I238</f>
        <v>BUENO</v>
      </c>
      <c r="J220" s="3" t="str">
        <f>+EDITABLE!J238</f>
        <v>DOS TOMAS PARA RJ48</v>
      </c>
      <c r="K220" s="2">
        <f>+EDITABLE!K238</f>
        <v>5</v>
      </c>
      <c r="L220" s="24">
        <f>+EDITABLE!L238</f>
        <v>45288</v>
      </c>
    </row>
    <row r="221" spans="1:13" x14ac:dyDescent="0.25">
      <c r="A221" s="3" t="str">
        <f>CONCATENATE(+EDITABLE!C239," ",H221)</f>
        <v>CAJETIN DE RED-5 LABORATORIO COMPUTACIÓN</v>
      </c>
      <c r="B221" s="3" t="str">
        <f>+EDITABLE!A239</f>
        <v>CAJELABORATO</v>
      </c>
      <c r="C221" s="6">
        <f>+EDITABLE!B239</f>
        <v>1</v>
      </c>
      <c r="D221" s="3" t="str">
        <f>+EDITABLE!D239</f>
        <v>BLANCO</v>
      </c>
      <c r="E221" s="3" t="str">
        <f>+EDITABLE!E239</f>
        <v>S/M</v>
      </c>
      <c r="F221" s="3" t="str">
        <f>+EDITABLE!F239</f>
        <v>S/M</v>
      </c>
      <c r="G221" s="5" t="str">
        <f>+EDITABLE!G239</f>
        <v>S/M</v>
      </c>
      <c r="H221" s="3" t="str">
        <f>+EDITABLE!H239</f>
        <v>LABORATORIO COMPUTACIÓN</v>
      </c>
      <c r="I221" s="3" t="str">
        <f>+EDITABLE!I239</f>
        <v>BUENO</v>
      </c>
      <c r="J221" s="3" t="str">
        <f>+EDITABLE!J239</f>
        <v>DOS TOMAS PARA RJ49</v>
      </c>
      <c r="K221" s="2">
        <f>+EDITABLE!K239</f>
        <v>5</v>
      </c>
      <c r="L221" s="24">
        <f>+EDITABLE!L239</f>
        <v>45288</v>
      </c>
    </row>
    <row r="222" spans="1:13" x14ac:dyDescent="0.25">
      <c r="A222" s="3" t="str">
        <f>CONCATENATE(+EDITABLE!C240," ",H222)</f>
        <v>CAJETIN DE RED-6 LABORATORIO COMPUTACIÓN</v>
      </c>
      <c r="B222" s="3" t="str">
        <f>+EDITABLE!A240</f>
        <v>CAJELABORATO</v>
      </c>
      <c r="C222" s="6">
        <f>+EDITABLE!B240</f>
        <v>1</v>
      </c>
      <c r="D222" s="3" t="str">
        <f>+EDITABLE!D240</f>
        <v>BLANCO</v>
      </c>
      <c r="E222" s="3" t="str">
        <f>+EDITABLE!E240</f>
        <v>S/M</v>
      </c>
      <c r="F222" s="3" t="str">
        <f>+EDITABLE!F240</f>
        <v>S/M</v>
      </c>
      <c r="G222" s="5" t="str">
        <f>+EDITABLE!G240</f>
        <v>S/M</v>
      </c>
      <c r="H222" s="3" t="str">
        <f>+EDITABLE!H240</f>
        <v>LABORATORIO COMPUTACIÓN</v>
      </c>
      <c r="I222" s="3" t="str">
        <f>+EDITABLE!I240</f>
        <v>BUENO</v>
      </c>
      <c r="J222" s="3" t="str">
        <f>+EDITABLE!J240</f>
        <v>DOS TOMAS PARA RJ50</v>
      </c>
      <c r="K222" s="2">
        <f>+EDITABLE!K240</f>
        <v>5</v>
      </c>
      <c r="L222" s="24">
        <f>+EDITABLE!L240</f>
        <v>45288</v>
      </c>
    </row>
    <row r="223" spans="1:13" x14ac:dyDescent="0.25">
      <c r="A223" s="3" t="str">
        <f>CONCATENATE(+EDITABLE!C241," ",H223)</f>
        <v>CAJETIN DE RED-7 LABORATORIO COMPUTACIÓN</v>
      </c>
      <c r="B223" s="3" t="str">
        <f>+EDITABLE!A241</f>
        <v>CAJELABORATO</v>
      </c>
      <c r="C223" s="6">
        <f>+EDITABLE!B241</f>
        <v>1</v>
      </c>
      <c r="D223" s="3" t="str">
        <f>+EDITABLE!D241</f>
        <v>BLANCO</v>
      </c>
      <c r="E223" s="3" t="str">
        <f>+EDITABLE!E241</f>
        <v>S/M</v>
      </c>
      <c r="F223" s="3" t="str">
        <f>+EDITABLE!F241</f>
        <v>S/M</v>
      </c>
      <c r="G223" s="5" t="str">
        <f>+EDITABLE!G241</f>
        <v>S/M</v>
      </c>
      <c r="H223" s="3" t="str">
        <f>+EDITABLE!H241</f>
        <v>LABORATORIO COMPUTACIÓN</v>
      </c>
      <c r="I223" s="3" t="str">
        <f>+EDITABLE!I241</f>
        <v>BUENO</v>
      </c>
      <c r="J223" s="3" t="str">
        <f>+EDITABLE!J241</f>
        <v>DOS TOMAS PARA RJ51</v>
      </c>
      <c r="K223" s="2">
        <f>+EDITABLE!K241</f>
        <v>5</v>
      </c>
      <c r="L223" s="24">
        <f>+EDITABLE!L241</f>
        <v>45288</v>
      </c>
    </row>
    <row r="224" spans="1:13" x14ac:dyDescent="0.25">
      <c r="A224" s="3" t="str">
        <f>CONCATENATE(+EDITABLE!C242," ",H224)</f>
        <v>CAJETIN DE RED-8 LABORATORIO COMPUTACIÓN</v>
      </c>
      <c r="B224" s="3" t="str">
        <f>+EDITABLE!A242</f>
        <v>CAJELABORATO</v>
      </c>
      <c r="C224" s="6">
        <f>+EDITABLE!B242</f>
        <v>1</v>
      </c>
      <c r="D224" s="3" t="str">
        <f>+EDITABLE!D242</f>
        <v>BLANCO</v>
      </c>
      <c r="E224" s="3" t="str">
        <f>+EDITABLE!E242</f>
        <v>S/M</v>
      </c>
      <c r="F224" s="3" t="str">
        <f>+EDITABLE!F242</f>
        <v>S/M</v>
      </c>
      <c r="G224" s="5" t="str">
        <f>+EDITABLE!G242</f>
        <v>S/M</v>
      </c>
      <c r="H224" s="3" t="str">
        <f>+EDITABLE!H242</f>
        <v>LABORATORIO COMPUTACIÓN</v>
      </c>
      <c r="I224" s="3" t="str">
        <f>+EDITABLE!I242</f>
        <v>BUENO</v>
      </c>
      <c r="J224" s="3" t="str">
        <f>+EDITABLE!J242</f>
        <v>DOS TOMAS PARA RJ52</v>
      </c>
      <c r="K224" s="2">
        <f>+EDITABLE!K242</f>
        <v>5</v>
      </c>
      <c r="L224" s="24">
        <f>+EDITABLE!L242</f>
        <v>45288</v>
      </c>
    </row>
    <row r="225" spans="1:12" x14ac:dyDescent="0.25">
      <c r="A225" s="3" t="str">
        <f>CONCATENATE(+EDITABLE!C243," ",H225)</f>
        <v>CAJETIN DE RED-9 LABORATORIO COMPUTACIÓN</v>
      </c>
      <c r="B225" s="3" t="str">
        <f>+EDITABLE!A243</f>
        <v>CAJELABORATO</v>
      </c>
      <c r="C225" s="6">
        <f>+EDITABLE!B243</f>
        <v>1</v>
      </c>
      <c r="D225" s="3" t="str">
        <f>+EDITABLE!D243</f>
        <v>BLANCO</v>
      </c>
      <c r="E225" s="3" t="str">
        <f>+EDITABLE!E243</f>
        <v>S/M</v>
      </c>
      <c r="F225" s="3" t="str">
        <f>+EDITABLE!F243</f>
        <v>S/M</v>
      </c>
      <c r="G225" s="5" t="str">
        <f>+EDITABLE!G243</f>
        <v>S/M</v>
      </c>
      <c r="H225" s="3" t="str">
        <f>+EDITABLE!H243</f>
        <v>LABORATORIO COMPUTACIÓN</v>
      </c>
      <c r="I225" s="3" t="str">
        <f>+EDITABLE!I243</f>
        <v>BUENO</v>
      </c>
      <c r="J225" s="3" t="str">
        <f>+EDITABLE!J243</f>
        <v>DOS TOMAS PARA RJ53</v>
      </c>
      <c r="K225" s="2">
        <f>+EDITABLE!K243</f>
        <v>5</v>
      </c>
      <c r="L225" s="24">
        <f>+EDITABLE!L243</f>
        <v>45288</v>
      </c>
    </row>
    <row r="226" spans="1:12" x14ac:dyDescent="0.25">
      <c r="A226" s="3" t="str">
        <f>CONCATENATE(+EDITABLE!C244," ",H226)</f>
        <v>CAJETIN DE RED-10 LABORATORIO COMPUTACIÓN</v>
      </c>
      <c r="B226" s="3" t="str">
        <f>+EDITABLE!A244</f>
        <v>CAJELABORATO</v>
      </c>
      <c r="C226" s="6">
        <f>+EDITABLE!B244</f>
        <v>1</v>
      </c>
      <c r="D226" s="3" t="str">
        <f>+EDITABLE!D244</f>
        <v>BLANCO</v>
      </c>
      <c r="E226" s="3" t="str">
        <f>+EDITABLE!E244</f>
        <v>S/M</v>
      </c>
      <c r="F226" s="3" t="str">
        <f>+EDITABLE!F244</f>
        <v>S/M</v>
      </c>
      <c r="G226" s="5" t="str">
        <f>+EDITABLE!G244</f>
        <v>S/M</v>
      </c>
      <c r="H226" s="3" t="str">
        <f>+EDITABLE!H244</f>
        <v>LABORATORIO COMPUTACIÓN</v>
      </c>
      <c r="I226" s="3" t="str">
        <f>+EDITABLE!I244</f>
        <v>BUENO</v>
      </c>
      <c r="J226" s="3" t="str">
        <f>+EDITABLE!J244</f>
        <v>DOS TOMAS PARA RJ54</v>
      </c>
      <c r="K226" s="2">
        <f>+EDITABLE!K244</f>
        <v>5</v>
      </c>
      <c r="L226" s="24">
        <f>+EDITABLE!L244</f>
        <v>45288</v>
      </c>
    </row>
    <row r="227" spans="1:12" x14ac:dyDescent="0.25">
      <c r="A227" s="3" t="str">
        <f>CONCATENATE(+EDITABLE!C245," ",H227)</f>
        <v>CPU LABORATORIO COMPUTACIÓN</v>
      </c>
      <c r="B227" s="3" t="str">
        <f>+EDITABLE!A245</f>
        <v>CPULABORATO</v>
      </c>
      <c r="C227" s="6">
        <f>+EDITABLE!B245</f>
        <v>1</v>
      </c>
      <c r="D227" s="3" t="str">
        <f>+EDITABLE!D245</f>
        <v>NEGRO VINO</v>
      </c>
      <c r="E227" s="3" t="str">
        <f>+EDITABLE!E245</f>
        <v>ALTEK</v>
      </c>
      <c r="F227" s="3" t="str">
        <f>+EDITABLE!F245</f>
        <v>GENERICO</v>
      </c>
      <c r="G227" s="5" t="str">
        <f>+EDITABLE!G245</f>
        <v>S/S</v>
      </c>
      <c r="H227" s="3" t="str">
        <f>+EDITABLE!H245</f>
        <v>LABORATORIO COMPUTACIÓN</v>
      </c>
      <c r="I227" s="3" t="str">
        <f>+EDITABLE!I245</f>
        <v>BUENO</v>
      </c>
      <c r="J227" s="3" t="str">
        <f>+EDITABLE!J245</f>
        <v>WINDOWS 8.1 ENTERPRISE, PROCESADOR: INTEL ® R CORE TM i7-3770 CPU, 3.40 GHZ, RAM 4 GB, 64 BITS, INTERNET ALÁMBRICO</v>
      </c>
      <c r="K227" s="2">
        <f>+EDITABLE!K245</f>
        <v>250</v>
      </c>
      <c r="L227" s="24">
        <f>+EDITABLE!L245</f>
        <v>45288</v>
      </c>
    </row>
    <row r="228" spans="1:12" x14ac:dyDescent="0.25">
      <c r="A228" s="3" t="str">
        <f>CONCATENATE(+EDITABLE!C246," ",H228)</f>
        <v>MONITOR LABORATORIO COMPUTACIÓN</v>
      </c>
      <c r="B228" s="3" t="str">
        <f>+EDITABLE!A246</f>
        <v>MONILABORATO</v>
      </c>
      <c r="C228" s="6">
        <f>+EDITABLE!B246</f>
        <v>1</v>
      </c>
      <c r="D228" s="3" t="str">
        <f>+EDITABLE!D246</f>
        <v>NEGRO</v>
      </c>
      <c r="E228" s="3" t="str">
        <f>+EDITABLE!E246</f>
        <v>QUASAD</v>
      </c>
      <c r="F228" s="3" t="str">
        <f>+EDITABLE!F246</f>
        <v>QM-B20</v>
      </c>
      <c r="G228" s="5" t="str">
        <f>+EDITABLE!G246</f>
        <v>CA31987071652</v>
      </c>
      <c r="H228" s="3" t="str">
        <f>+EDITABLE!H246</f>
        <v>LABORATORIO COMPUTACIÓN</v>
      </c>
      <c r="I228" s="3" t="str">
        <f>+EDITABLE!I246</f>
        <v>BUENO</v>
      </c>
      <c r="J228" s="3" t="str">
        <f>+EDITABLE!J246</f>
        <v>DE 19", CONECCIÓN VGA CON CLABELDE ENERGIA Y DATOS</v>
      </c>
      <c r="K228" s="2">
        <f>+EDITABLE!K246</f>
        <v>60</v>
      </c>
      <c r="L228" s="24">
        <f>+EDITABLE!L246</f>
        <v>45288</v>
      </c>
    </row>
    <row r="229" spans="1:12" x14ac:dyDescent="0.25">
      <c r="A229" s="3" t="str">
        <f>CONCATENATE(+EDITABLE!C247," ",H229)</f>
        <v>TECLADO LABORATORIO COMPUTACIÓN</v>
      </c>
      <c r="B229" s="3" t="str">
        <f>+EDITABLE!A247</f>
        <v>TECLLABORATO</v>
      </c>
      <c r="C229" s="6">
        <f>+EDITABLE!B247</f>
        <v>1</v>
      </c>
      <c r="D229" s="3" t="str">
        <f>+EDITABLE!D247</f>
        <v>NEGRO</v>
      </c>
      <c r="E229" s="3" t="str">
        <f>+EDITABLE!E247</f>
        <v>GENIUS</v>
      </c>
      <c r="F229" s="3" t="str">
        <f>+EDITABLE!F247</f>
        <v>KB-117</v>
      </c>
      <c r="G229" s="5" t="str">
        <f>+EDITABLE!G247</f>
        <v>31H96036700848</v>
      </c>
      <c r="H229" s="3" t="str">
        <f>+EDITABLE!H247</f>
        <v>LABORATORIO COMPUTACIÓN</v>
      </c>
      <c r="I229" s="3" t="str">
        <f>+EDITABLE!I247</f>
        <v>BUENO</v>
      </c>
      <c r="J229" s="3" t="str">
        <f>+EDITABLE!J247</f>
        <v>ALAMBRICO, CONECTOR USB, COMPATIBLE PARA JUEGOS, TECLADO NUMÉRICO.</v>
      </c>
      <c r="K229" s="2">
        <f>+EDITABLE!K247</f>
        <v>10</v>
      </c>
      <c r="L229" s="24">
        <f>+EDITABLE!L247</f>
        <v>45288</v>
      </c>
    </row>
    <row r="230" spans="1:12" x14ac:dyDescent="0.25">
      <c r="A230" s="3" t="str">
        <f>CONCATENATE(+EDITABLE!C248," ",H230)</f>
        <v>MOUSE LABORATORIO COMPUTACIÓN</v>
      </c>
      <c r="B230" s="3" t="str">
        <f>+EDITABLE!A248</f>
        <v>MOUSLABORATO</v>
      </c>
      <c r="C230" s="6">
        <f>+EDITABLE!B248</f>
        <v>1</v>
      </c>
      <c r="D230" s="3" t="str">
        <f>+EDITABLE!D248</f>
        <v>NEGRO ROJO</v>
      </c>
      <c r="E230" s="3" t="str">
        <f>+EDITABLE!E248</f>
        <v>GENIUS</v>
      </c>
      <c r="F230" s="3" t="str">
        <f>+EDITABLE!F248</f>
        <v>DX-110</v>
      </c>
      <c r="G230" s="5" t="str">
        <f>+EDITABLE!G248</f>
        <v>X2L96540201336</v>
      </c>
      <c r="H230" s="3" t="str">
        <f>+EDITABLE!H248</f>
        <v>LABORATORIO COMPUTACIÓN</v>
      </c>
      <c r="I230" s="3" t="str">
        <f>+EDITABLE!I248</f>
        <v>BUENO</v>
      </c>
      <c r="J230" s="3" t="str">
        <f>+EDITABLE!J248</f>
        <v>ALAMBRICO, LED, DISEÑO ERGONÓMICO</v>
      </c>
      <c r="K230" s="2">
        <f>+EDITABLE!K248</f>
        <v>6</v>
      </c>
      <c r="L230" s="24">
        <f>+EDITABLE!L248</f>
        <v>45288</v>
      </c>
    </row>
    <row r="231" spans="1:12" x14ac:dyDescent="0.25">
      <c r="A231" s="3" t="str">
        <f>CONCATENATE(+EDITABLE!C249," ",H231)</f>
        <v>CPU-1 LABORATORIO COMPUTACIÓN</v>
      </c>
      <c r="B231" s="3" t="str">
        <f>+EDITABLE!A249</f>
        <v>CPU-LABORATO</v>
      </c>
      <c r="C231" s="6">
        <f>+EDITABLE!B249</f>
        <v>1</v>
      </c>
      <c r="D231" s="3" t="str">
        <f>+EDITABLE!D249</f>
        <v>NEGRO</v>
      </c>
      <c r="E231" s="3" t="str">
        <f>+EDITABLE!E249</f>
        <v>SION</v>
      </c>
      <c r="F231" s="3" t="str">
        <f>+EDITABLE!F249</f>
        <v>PCSIONCOREI5</v>
      </c>
      <c r="G231" s="5">
        <f>+EDITABLE!G249</f>
        <v>81830</v>
      </c>
      <c r="H231" s="3" t="str">
        <f>+EDITABLE!H249</f>
        <v>LABORATORIO COMPUTACIÓN</v>
      </c>
      <c r="I231" s="3" t="str">
        <f>+EDITABLE!I249</f>
        <v>BUENO</v>
      </c>
      <c r="J231" s="3" t="str">
        <f>+EDITABLE!J249</f>
        <v>WINDOWS 8.1 ENTERPRISE, PROCESADOR: INTEL ® R CORE TM i5-3330 CPU, 3.00 GHZ, RAM 4 GB, 64 BITS, INTERNET ALÁMBRICO</v>
      </c>
      <c r="K231" s="2">
        <f>+EDITABLE!K249</f>
        <v>250</v>
      </c>
      <c r="L231" s="24">
        <f>+EDITABLE!L249</f>
        <v>45288</v>
      </c>
    </row>
    <row r="232" spans="1:12" x14ac:dyDescent="0.25">
      <c r="A232" s="3" t="str">
        <f>CONCATENATE(+EDITABLE!C250," ",H232)</f>
        <v>MONITOR-1 LABORATORIO COMPUTACIÓN</v>
      </c>
      <c r="B232" s="3" t="str">
        <f>+EDITABLE!A250</f>
        <v>MONILABORATO</v>
      </c>
      <c r="C232" s="6">
        <f>+EDITABLE!B250</f>
        <v>1</v>
      </c>
      <c r="D232" s="3" t="str">
        <f>+EDITABLE!D250</f>
        <v>NEGRO</v>
      </c>
      <c r="E232" s="3" t="str">
        <f>+EDITABLE!E250</f>
        <v>SAMSUNG</v>
      </c>
      <c r="F232" s="3" t="str">
        <f>+EDITABLE!F250</f>
        <v>S19A10N</v>
      </c>
      <c r="G232" s="5" t="str">
        <f>+EDITABLE!G250</f>
        <v>ZT14H4LC40274TY</v>
      </c>
      <c r="H232" s="3" t="str">
        <f>+EDITABLE!H250</f>
        <v>LABORATORIO COMPUTACIÓN</v>
      </c>
      <c r="I232" s="3" t="str">
        <f>+EDITABLE!I250</f>
        <v>BUENO</v>
      </c>
      <c r="J232" s="3" t="str">
        <f>+EDITABLE!J250</f>
        <v>DE 19", CONECCIÓN VGA CON CLABELDE ENERGIA Y DATOS</v>
      </c>
      <c r="K232" s="2">
        <f>+EDITABLE!K250</f>
        <v>60</v>
      </c>
      <c r="L232" s="24">
        <f>+EDITABLE!L250</f>
        <v>45288</v>
      </c>
    </row>
    <row r="233" spans="1:12" x14ac:dyDescent="0.25">
      <c r="A233" s="3" t="str">
        <f>CONCATENATE(+EDITABLE!C251," ",H233)</f>
        <v>TECLADO-1 LABORATORIO COMPUTACIÓN</v>
      </c>
      <c r="B233" s="3" t="str">
        <f>+EDITABLE!A251</f>
        <v>TECLLABORATO</v>
      </c>
      <c r="C233" s="6">
        <f>+EDITABLE!B251</f>
        <v>1</v>
      </c>
      <c r="D233" s="3" t="str">
        <f>+EDITABLE!D251</f>
        <v>NEGRO</v>
      </c>
      <c r="E233" s="3" t="str">
        <f>+EDITABLE!E251</f>
        <v>GENIUS</v>
      </c>
      <c r="F233" s="3" t="str">
        <f>+EDITABLE!F251</f>
        <v>GK-070008/U</v>
      </c>
      <c r="G233" s="5" t="str">
        <f>+EDITABLE!G251</f>
        <v>ZCE8V5301760</v>
      </c>
      <c r="H233" s="3" t="str">
        <f>+EDITABLE!H251</f>
        <v>LABORATORIO COMPUTACIÓN</v>
      </c>
      <c r="I233" s="3" t="str">
        <f>+EDITABLE!I251</f>
        <v>BUENO</v>
      </c>
      <c r="J233" s="3" t="str">
        <f>+EDITABLE!J251</f>
        <v>ALAMBRICO, CONECTOR USB, COMPATIBLE PARA JUEGOS, TECLADO NUMÉRICO.</v>
      </c>
      <c r="K233" s="2">
        <f>+EDITABLE!K251</f>
        <v>10</v>
      </c>
      <c r="L233" s="24">
        <f>+EDITABLE!L251</f>
        <v>45288</v>
      </c>
    </row>
    <row r="234" spans="1:12" x14ac:dyDescent="0.25">
      <c r="A234" s="3" t="str">
        <f>CONCATENATE(+EDITABLE!C252," ",H234)</f>
        <v>MOUSE-1 LABORATORIO COMPUTACIÓN</v>
      </c>
      <c r="B234" s="3" t="str">
        <f>+EDITABLE!A252</f>
        <v>MOUSLABORATO</v>
      </c>
      <c r="C234" s="6">
        <f>+EDITABLE!B252</f>
        <v>1</v>
      </c>
      <c r="D234" s="3" t="str">
        <f>+EDITABLE!D252</f>
        <v>NEGRO/GRIS</v>
      </c>
      <c r="E234" s="3" t="str">
        <f>+EDITABLE!E252</f>
        <v>DELUX</v>
      </c>
      <c r="F234" s="3" t="str">
        <f>+EDITABLE!F252</f>
        <v>M312</v>
      </c>
      <c r="G234" s="5" t="str">
        <f>+EDITABLE!G252</f>
        <v>M3121110063487</v>
      </c>
      <c r="H234" s="3" t="str">
        <f>+EDITABLE!H252</f>
        <v>LABORATORIO COMPUTACIÓN</v>
      </c>
      <c r="I234" s="3" t="str">
        <f>+EDITABLE!I252</f>
        <v>BUENO</v>
      </c>
      <c r="J234" s="3" t="str">
        <f>+EDITABLE!J252</f>
        <v>ALAMBRICO Y LUZ LED, USB</v>
      </c>
      <c r="K234" s="2">
        <f>+EDITABLE!K252</f>
        <v>5</v>
      </c>
      <c r="L234" s="24">
        <f>+EDITABLE!L252</f>
        <v>45288</v>
      </c>
    </row>
    <row r="235" spans="1:12" x14ac:dyDescent="0.25">
      <c r="A235" s="3" t="str">
        <f>CONCATENATE(+EDITABLE!C253," ",H235)</f>
        <v>CPU-2 LABORATORIO COMPUTACIÓN</v>
      </c>
      <c r="B235" s="3" t="str">
        <f>+EDITABLE!A253</f>
        <v>CPU-LABORATO</v>
      </c>
      <c r="C235" s="6">
        <f>+EDITABLE!B253</f>
        <v>1</v>
      </c>
      <c r="D235" s="3" t="str">
        <f>+EDITABLE!D253</f>
        <v>NEGRO</v>
      </c>
      <c r="E235" s="3" t="str">
        <f>+EDITABLE!E253</f>
        <v>DELUX</v>
      </c>
      <c r="F235" s="3" t="str">
        <f>+EDITABLE!F253</f>
        <v>GENERICO</v>
      </c>
      <c r="G235" s="5" t="str">
        <f>+EDITABLE!G253</f>
        <v>S/S</v>
      </c>
      <c r="H235" s="3" t="str">
        <f>+EDITABLE!H253</f>
        <v>LABORATORIO COMPUTACIÓN</v>
      </c>
      <c r="I235" s="3" t="str">
        <f>+EDITABLE!I253</f>
        <v>BUENO</v>
      </c>
      <c r="J235" s="3" t="str">
        <f>+EDITABLE!J253</f>
        <v>WINDOWS 8.1 ENTERPRISE, PROCESADOR: INTEL ® R CORE TM i5-2310 CPU, 2.90.00 GHZ, RAM 4 GB, 64 BITS, INTERNET ALÁMBRICO</v>
      </c>
      <c r="K235" s="2">
        <f>+EDITABLE!K253</f>
        <v>250</v>
      </c>
      <c r="L235" s="24">
        <f>+EDITABLE!L253</f>
        <v>45288</v>
      </c>
    </row>
    <row r="236" spans="1:12" x14ac:dyDescent="0.25">
      <c r="A236" s="3" t="str">
        <f>CONCATENATE(+EDITABLE!C254," ",H236)</f>
        <v>MONITOR-2 LABORATORIO COMPUTACIÓN</v>
      </c>
      <c r="B236" s="3" t="str">
        <f>+EDITABLE!A254</f>
        <v>MONILABORATO</v>
      </c>
      <c r="C236" s="6">
        <f>+EDITABLE!B254</f>
        <v>1</v>
      </c>
      <c r="D236" s="3" t="str">
        <f>+EDITABLE!D254</f>
        <v>NEGRO</v>
      </c>
      <c r="E236" s="3" t="str">
        <f>+EDITABLE!E254</f>
        <v>SAMSUNG</v>
      </c>
      <c r="F236" s="3" t="str">
        <f>+EDITABLE!F254</f>
        <v>S19A10N</v>
      </c>
      <c r="G236" s="5" t="str">
        <f>+EDITABLE!G254</f>
        <v>ZT14H4LC401233K</v>
      </c>
      <c r="H236" s="3" t="str">
        <f>+EDITABLE!H254</f>
        <v>LABORATORIO COMPUTACIÓN</v>
      </c>
      <c r="I236" s="3" t="str">
        <f>+EDITABLE!I254</f>
        <v>BUENO</v>
      </c>
      <c r="J236" s="3" t="str">
        <f>+EDITABLE!J254</f>
        <v>DE 19", CONECCIÓN VGA CON CLABELDE ENERGIA Y DATOS</v>
      </c>
      <c r="K236" s="2">
        <f>+EDITABLE!K254</f>
        <v>60</v>
      </c>
      <c r="L236" s="24">
        <f>+EDITABLE!L254</f>
        <v>45288</v>
      </c>
    </row>
    <row r="237" spans="1:12" x14ac:dyDescent="0.25">
      <c r="A237" s="3" t="str">
        <f>CONCATENATE(+EDITABLE!C255," ",H237)</f>
        <v>TECLADO-2 LABORATORIO COMPUTACIÓN</v>
      </c>
      <c r="B237" s="3" t="str">
        <f>+EDITABLE!A255</f>
        <v>TECLLABORATO</v>
      </c>
      <c r="C237" s="6">
        <f>+EDITABLE!B255</f>
        <v>1</v>
      </c>
      <c r="D237" s="3" t="str">
        <f>+EDITABLE!D255</f>
        <v>NEGRO</v>
      </c>
      <c r="E237" s="3" t="str">
        <f>+EDITABLE!E255</f>
        <v>DELUX</v>
      </c>
      <c r="F237" s="3" t="str">
        <f>+EDITABLE!F255</f>
        <v>K5015</v>
      </c>
      <c r="G237" s="5" t="str">
        <f>+EDITABLE!G255</f>
        <v>K50151110000482</v>
      </c>
      <c r="H237" s="3" t="str">
        <f>+EDITABLE!H255</f>
        <v>LABORATORIO COMPUTACIÓN</v>
      </c>
      <c r="I237" s="3" t="str">
        <f>+EDITABLE!I255</f>
        <v>BUENO</v>
      </c>
      <c r="J237" s="3" t="str">
        <f>+EDITABLE!J255</f>
        <v>ALAMBRICO, HERGONÓMICO, VARIOS USOS, CONECTOR USB</v>
      </c>
      <c r="K237" s="2">
        <f>+EDITABLE!K255</f>
        <v>17</v>
      </c>
      <c r="L237" s="24">
        <f>+EDITABLE!L255</f>
        <v>45288</v>
      </c>
    </row>
    <row r="238" spans="1:12" x14ac:dyDescent="0.25">
      <c r="A238" s="3" t="str">
        <f>CONCATENATE(+EDITABLE!C256," ",H238)</f>
        <v>MOUSE-2 LABORATORIO COMPUTACIÓN</v>
      </c>
      <c r="B238" s="3" t="str">
        <f>+EDITABLE!A256</f>
        <v>MOUSLABORATO</v>
      </c>
      <c r="C238" s="6">
        <f>+EDITABLE!B256</f>
        <v>1</v>
      </c>
      <c r="D238" s="3" t="str">
        <f>+EDITABLE!D256</f>
        <v>NEGRO/GRIS</v>
      </c>
      <c r="E238" s="3" t="str">
        <f>+EDITABLE!E256</f>
        <v>DELUX</v>
      </c>
      <c r="F238" s="3" t="str">
        <f>+EDITABLE!F256</f>
        <v>M312</v>
      </c>
      <c r="G238" s="5" t="str">
        <f>+EDITABLE!G256</f>
        <v>M3121110063322</v>
      </c>
      <c r="H238" s="3" t="str">
        <f>+EDITABLE!H256</f>
        <v>LABORATORIO COMPUTACIÓN</v>
      </c>
      <c r="I238" s="3" t="str">
        <f>+EDITABLE!I256</f>
        <v>BUENO</v>
      </c>
      <c r="J238" s="3" t="str">
        <f>+EDITABLE!J256</f>
        <v>ALAMBRICO Y LUZ LED, USB</v>
      </c>
      <c r="K238" s="2">
        <f>+EDITABLE!K256</f>
        <v>5</v>
      </c>
      <c r="L238" s="24">
        <f>+EDITABLE!L256</f>
        <v>45288</v>
      </c>
    </row>
    <row r="239" spans="1:12" x14ac:dyDescent="0.25">
      <c r="A239" s="3" t="str">
        <f>CONCATENATE(+EDITABLE!C257," ",H239)</f>
        <v>CPU-3 LABORATORIO COMPUTACIÓN</v>
      </c>
      <c r="B239" s="3" t="str">
        <f>+EDITABLE!A257</f>
        <v>CPU-LABORATO</v>
      </c>
      <c r="C239" s="6">
        <f>+EDITABLE!B257</f>
        <v>1</v>
      </c>
      <c r="D239" s="3" t="str">
        <f>+EDITABLE!D257</f>
        <v>NEGRO</v>
      </c>
      <c r="E239" s="3" t="str">
        <f>+EDITABLE!E257</f>
        <v>SION</v>
      </c>
      <c r="F239" s="3" t="str">
        <f>+EDITABLE!F257</f>
        <v>PCSIONCOREI5</v>
      </c>
      <c r="G239" s="5">
        <f>+EDITABLE!G257</f>
        <v>81837</v>
      </c>
      <c r="H239" s="3" t="str">
        <f>+EDITABLE!H257</f>
        <v>LABORATORIO COMPUTACIÓN</v>
      </c>
      <c r="I239" s="3" t="str">
        <f>+EDITABLE!I257</f>
        <v>BUENO</v>
      </c>
      <c r="J239" s="3" t="str">
        <f>+EDITABLE!J257</f>
        <v>WINDOWS 8.1 INTERPRISE, PROCESADOR: INTEL ® R CORE TM i5-4460 CPU, 3.20.00 GHZ, RAM 4 GB, 64 BITS, INTERNET ALÁMBRICO</v>
      </c>
      <c r="K239" s="2">
        <f>+EDITABLE!K257</f>
        <v>250</v>
      </c>
      <c r="L239" s="24">
        <f>+EDITABLE!L257</f>
        <v>45288</v>
      </c>
    </row>
    <row r="240" spans="1:12" x14ac:dyDescent="0.25">
      <c r="A240" s="3" t="str">
        <f>CONCATENATE(+EDITABLE!C258," ",H240)</f>
        <v>MONITOR-3 LABORATORIO COMPUTACIÓN</v>
      </c>
      <c r="B240" s="3" t="str">
        <f>+EDITABLE!A258</f>
        <v>MONILABORATO</v>
      </c>
      <c r="C240" s="6">
        <f>+EDITABLE!B258</f>
        <v>1</v>
      </c>
      <c r="D240" s="3" t="str">
        <f>+EDITABLE!D258</f>
        <v>NEGRO</v>
      </c>
      <c r="E240" s="3" t="str">
        <f>+EDITABLE!E258</f>
        <v>SAMSUNG</v>
      </c>
      <c r="F240" s="3" t="str">
        <f>+EDITABLE!F258</f>
        <v>S19A10N</v>
      </c>
      <c r="G240" s="5" t="str">
        <f>+EDITABLE!G258</f>
        <v>ZT14H4LC401236A</v>
      </c>
      <c r="H240" s="3" t="str">
        <f>+EDITABLE!H258</f>
        <v>LABORATORIO COMPUTACIÓN</v>
      </c>
      <c r="I240" s="3" t="str">
        <f>+EDITABLE!I258</f>
        <v>BUENO</v>
      </c>
      <c r="J240" s="3" t="str">
        <f>+EDITABLE!J258</f>
        <v>DE 19", CONECCIÓN VGA CON CLABELDE ENERGIA Y DATOS</v>
      </c>
      <c r="K240" s="2">
        <f>+EDITABLE!K258</f>
        <v>60</v>
      </c>
      <c r="L240" s="24">
        <f>+EDITABLE!L258</f>
        <v>45288</v>
      </c>
    </row>
    <row r="241" spans="1:12" x14ac:dyDescent="0.25">
      <c r="A241" s="3" t="str">
        <f>CONCATENATE(+EDITABLE!C259," ",H241)</f>
        <v>TECLADO-3 LABORATORIO COMPUTACIÓN</v>
      </c>
      <c r="B241" s="3" t="str">
        <f>+EDITABLE!A259</f>
        <v>TECLLABORATO</v>
      </c>
      <c r="C241" s="6">
        <f>+EDITABLE!B259</f>
        <v>1</v>
      </c>
      <c r="D241" s="3" t="str">
        <f>+EDITABLE!D259</f>
        <v>GRIS/NEGRO</v>
      </c>
      <c r="E241" s="3" t="str">
        <f>+EDITABLE!E259</f>
        <v>GENIUS</v>
      </c>
      <c r="F241" s="3" t="str">
        <f>+EDITABLE!F259</f>
        <v>KL-0210</v>
      </c>
      <c r="G241" s="5" t="str">
        <f>+EDITABLE!G259</f>
        <v>3912A734</v>
      </c>
      <c r="H241" s="3" t="str">
        <f>+EDITABLE!H259</f>
        <v>LABORATORIO COMPUTACIÓN</v>
      </c>
      <c r="I241" s="3" t="str">
        <f>+EDITABLE!I259</f>
        <v>BUENO</v>
      </c>
      <c r="J241" s="3" t="str">
        <f>+EDITABLE!J259</f>
        <v>ALAMBRICO, CONECTOR USB, COMPATIBLE PARA JUEGOS, TECLADO NUMÉRICO.</v>
      </c>
      <c r="K241" s="2">
        <f>+EDITABLE!K259</f>
        <v>10</v>
      </c>
      <c r="L241" s="24">
        <f>+EDITABLE!L259</f>
        <v>45288</v>
      </c>
    </row>
    <row r="242" spans="1:12" x14ac:dyDescent="0.25">
      <c r="A242" s="3" t="str">
        <f>CONCATENATE(+EDITABLE!C260," ",H242)</f>
        <v>MOUSE-3 LABORATORIO COMPUTACIÓN</v>
      </c>
      <c r="B242" s="3" t="str">
        <f>+EDITABLE!A260</f>
        <v>MOUSLABORATO</v>
      </c>
      <c r="C242" s="6">
        <f>+EDITABLE!B260</f>
        <v>1</v>
      </c>
      <c r="D242" s="3" t="str">
        <f>+EDITABLE!D260</f>
        <v>NEGRO/GRIS</v>
      </c>
      <c r="E242" s="3" t="str">
        <f>+EDITABLE!E260</f>
        <v>DELUX</v>
      </c>
      <c r="F242" s="3" t="str">
        <f>+EDITABLE!F260</f>
        <v>M312</v>
      </c>
      <c r="G242" s="5" t="str">
        <f>+EDITABLE!G260</f>
        <v>M3121110062614</v>
      </c>
      <c r="H242" s="3" t="str">
        <f>+EDITABLE!H260</f>
        <v>LABORATORIO COMPUTACIÓN</v>
      </c>
      <c r="I242" s="3" t="str">
        <f>+EDITABLE!I260</f>
        <v>BUENO</v>
      </c>
      <c r="J242" s="3" t="str">
        <f>+EDITABLE!J260</f>
        <v>ALAMBRICO Y LUZ LED, USB</v>
      </c>
      <c r="K242" s="2">
        <f>+EDITABLE!K260</f>
        <v>5</v>
      </c>
      <c r="L242" s="24">
        <f>+EDITABLE!L260</f>
        <v>45288</v>
      </c>
    </row>
    <row r="243" spans="1:12" x14ac:dyDescent="0.25">
      <c r="A243" s="3" t="str">
        <f>CONCATENATE(+EDITABLE!C261," ",H243)</f>
        <v>CPU-4 LABORATORIO COMPUTACIÓN</v>
      </c>
      <c r="B243" s="3" t="str">
        <f>+EDITABLE!A261</f>
        <v>CPU-LABORATO</v>
      </c>
      <c r="C243" s="6">
        <f>+EDITABLE!B261</f>
        <v>1</v>
      </c>
      <c r="D243" s="3" t="str">
        <f>+EDITABLE!D261</f>
        <v>NEGRO</v>
      </c>
      <c r="E243" s="3" t="str">
        <f>+EDITABLE!E261</f>
        <v>DELUX</v>
      </c>
      <c r="F243" s="3" t="str">
        <f>+EDITABLE!F261</f>
        <v>GENERICO</v>
      </c>
      <c r="G243" s="5" t="str">
        <f>+EDITABLE!G261</f>
        <v>S/S</v>
      </c>
      <c r="H243" s="3" t="str">
        <f>+EDITABLE!H261</f>
        <v>LABORATORIO COMPUTACIÓN</v>
      </c>
      <c r="I243" s="3" t="str">
        <f>+EDITABLE!I261</f>
        <v>BUENO</v>
      </c>
      <c r="J243" s="3" t="str">
        <f>+EDITABLE!J261</f>
        <v>WINDOWS 8.1 INTERPRISE, PROCESADOR: INTEL ® R CORE TM i5-2320 CPU, 3.00 GHZ, RAM 4 GB, 64 BITS, INTERNET ALÁMBRICO</v>
      </c>
      <c r="K243" s="2">
        <f>+EDITABLE!K261</f>
        <v>250</v>
      </c>
      <c r="L243" s="24">
        <f>+EDITABLE!L261</f>
        <v>45288</v>
      </c>
    </row>
    <row r="244" spans="1:12" x14ac:dyDescent="0.25">
      <c r="A244" s="3" t="str">
        <f>CONCATENATE(+EDITABLE!C262," ",H244)</f>
        <v>MONITOR-4 LABORATORIO COMPUTACIÓN</v>
      </c>
      <c r="B244" s="3" t="str">
        <f>+EDITABLE!A262</f>
        <v>MONILABORATO</v>
      </c>
      <c r="C244" s="6">
        <f>+EDITABLE!B262</f>
        <v>1</v>
      </c>
      <c r="D244" s="3" t="str">
        <f>+EDITABLE!D262</f>
        <v>NEGRO</v>
      </c>
      <c r="E244" s="3" t="str">
        <f>+EDITABLE!E262</f>
        <v>SAMNSUNG</v>
      </c>
      <c r="F244" s="3" t="str">
        <f>+EDITABLE!F262</f>
        <v>S19A10N</v>
      </c>
      <c r="G244" s="5" t="str">
        <f>+EDITABLE!G262</f>
        <v>ZT14H4LC401339A</v>
      </c>
      <c r="H244" s="3" t="str">
        <f>+EDITABLE!H262</f>
        <v>LABORATORIO COMPUTACIÓN</v>
      </c>
      <c r="I244" s="3" t="str">
        <f>+EDITABLE!I262</f>
        <v>BUENO</v>
      </c>
      <c r="J244" s="3" t="str">
        <f>+EDITABLE!J262</f>
        <v>DE 19", CONECCIÓN VGA CON CLABELDE ENERGIA Y DATOS</v>
      </c>
      <c r="K244" s="2">
        <f>+EDITABLE!K262</f>
        <v>60</v>
      </c>
      <c r="L244" s="24">
        <f>+EDITABLE!L262</f>
        <v>45288</v>
      </c>
    </row>
    <row r="245" spans="1:12" x14ac:dyDescent="0.25">
      <c r="A245" s="3" t="str">
        <f>CONCATENATE(+EDITABLE!C263," ",H245)</f>
        <v>TECLADO-4 LABORATORIO COMPUTACIÓN</v>
      </c>
      <c r="B245" s="3" t="str">
        <f>+EDITABLE!A263</f>
        <v>TECLLABORATO</v>
      </c>
      <c r="C245" s="6">
        <f>+EDITABLE!B263</f>
        <v>1</v>
      </c>
      <c r="D245" s="3" t="str">
        <f>+EDITABLE!D263</f>
        <v>NEGRO</v>
      </c>
      <c r="E245" s="3" t="str">
        <f>+EDITABLE!E263</f>
        <v>GENIUS</v>
      </c>
      <c r="F245" s="3" t="str">
        <f>+EDITABLE!F263</f>
        <v>K627</v>
      </c>
      <c r="G245" s="5" t="str">
        <f>+EDITABLE!G263</f>
        <v>ZM5727170016</v>
      </c>
      <c r="H245" s="3" t="str">
        <f>+EDITABLE!H263</f>
        <v>LABORATORIO COMPUTACIÓN</v>
      </c>
      <c r="I245" s="3" t="str">
        <f>+EDITABLE!I263</f>
        <v>BUENO</v>
      </c>
      <c r="J245" s="3" t="str">
        <f>+EDITABLE!J263</f>
        <v>ALAMBRICO, CONECTOR USB, COMPATIBLE PARA JUEGOS, TECLADO NUMÉRICO.</v>
      </c>
      <c r="K245" s="2">
        <f>+EDITABLE!K263</f>
        <v>10</v>
      </c>
      <c r="L245" s="24">
        <f>+EDITABLE!L263</f>
        <v>45288</v>
      </c>
    </row>
    <row r="246" spans="1:12" x14ac:dyDescent="0.25">
      <c r="A246" s="3" t="str">
        <f>CONCATENATE(+EDITABLE!C264," ",H246)</f>
        <v>MOUSE-4 LABORATORIO COMPUTACIÓN</v>
      </c>
      <c r="B246" s="3" t="str">
        <f>+EDITABLE!A264</f>
        <v>MOUSLABORATO</v>
      </c>
      <c r="C246" s="6">
        <f>+EDITABLE!B264</f>
        <v>1</v>
      </c>
      <c r="D246" s="3" t="str">
        <f>+EDITABLE!D264</f>
        <v>NEGRO/TRANSPARENTE</v>
      </c>
      <c r="E246" s="3" t="str">
        <f>+EDITABLE!E264</f>
        <v>INS</v>
      </c>
      <c r="F246" s="3" t="str">
        <f>+EDITABLE!F264</f>
        <v>S/M</v>
      </c>
      <c r="G246" s="5" t="str">
        <f>+EDITABLE!G264</f>
        <v>S/S</v>
      </c>
      <c r="H246" s="3" t="str">
        <f>+EDITABLE!H264</f>
        <v>LABORATORIO COMPUTACIÓN</v>
      </c>
      <c r="I246" s="3" t="str">
        <f>+EDITABLE!I264</f>
        <v>BUENO</v>
      </c>
      <c r="J246" s="3" t="str">
        <f>+EDITABLE!J264</f>
        <v>ALAMBRICO, LED, OPTICO</v>
      </c>
      <c r="K246" s="2">
        <f>+EDITABLE!K264</f>
        <v>5</v>
      </c>
      <c r="L246" s="24">
        <f>+EDITABLE!L264</f>
        <v>45288</v>
      </c>
    </row>
    <row r="247" spans="1:12" x14ac:dyDescent="0.25">
      <c r="A247" s="3" t="str">
        <f>CONCATENATE(+EDITABLE!C265," ",H247)</f>
        <v>CPU-5 LABORATORIO COMPUTACIÓN</v>
      </c>
      <c r="B247" s="3" t="str">
        <f>+EDITABLE!A265</f>
        <v>CPU-LABORATO</v>
      </c>
      <c r="C247" s="6">
        <f>+EDITABLE!B265</f>
        <v>1</v>
      </c>
      <c r="D247" s="3" t="str">
        <f>+EDITABLE!D265</f>
        <v>NEGRO</v>
      </c>
      <c r="E247" s="3" t="str">
        <f>+EDITABLE!E265</f>
        <v>DELUX</v>
      </c>
      <c r="F247" s="3" t="str">
        <f>+EDITABLE!F265</f>
        <v>GENERICO</v>
      </c>
      <c r="G247" s="5" t="str">
        <f>+EDITABLE!G265</f>
        <v>S/S</v>
      </c>
      <c r="H247" s="3" t="str">
        <f>+EDITABLE!H265</f>
        <v>LABORATORIO COMPUTACIÓN</v>
      </c>
      <c r="I247" s="3" t="str">
        <f>+EDITABLE!I265</f>
        <v>BUENO</v>
      </c>
      <c r="J247" s="3" t="str">
        <f>+EDITABLE!J265</f>
        <v>WINDOWS 8.1 INTERPRISE, PROCESADOR: INTEL ® R CORE TM i5-2320 CPU, 3.00 GHZ, RAM 4 GB, 64 BITS, INTERNET ALÁMBRICO</v>
      </c>
      <c r="K247" s="2">
        <f>+EDITABLE!K265</f>
        <v>250</v>
      </c>
      <c r="L247" s="24">
        <f>+EDITABLE!L265</f>
        <v>45288</v>
      </c>
    </row>
    <row r="248" spans="1:12" x14ac:dyDescent="0.25">
      <c r="A248" s="3" t="str">
        <f>CONCATENATE(+EDITABLE!C266," ",H248)</f>
        <v>MONITOR-5 LABORATORIO COMPUTACIÓN</v>
      </c>
      <c r="B248" s="3" t="str">
        <f>+EDITABLE!A266</f>
        <v>MONILABORATO</v>
      </c>
      <c r="C248" s="6">
        <f>+EDITABLE!B266</f>
        <v>1</v>
      </c>
      <c r="D248" s="3" t="str">
        <f>+EDITABLE!D266</f>
        <v>NEGRO</v>
      </c>
      <c r="E248" s="3" t="str">
        <f>+EDITABLE!E266</f>
        <v>SAMSUNG</v>
      </c>
      <c r="F248" s="3" t="str">
        <f>+EDITABLE!F266</f>
        <v>S19A10N</v>
      </c>
      <c r="G248" s="5" t="str">
        <f>+EDITABLE!G266</f>
        <v>ZT14H4LC401242V</v>
      </c>
      <c r="H248" s="3" t="str">
        <f>+EDITABLE!H266</f>
        <v>LABORATORIO COMPUTACIÓN</v>
      </c>
      <c r="I248" s="3" t="str">
        <f>+EDITABLE!I266</f>
        <v>BUENO</v>
      </c>
      <c r="J248" s="3" t="str">
        <f>+EDITABLE!J266</f>
        <v>DE 19", CONECCIÓN VGA CON CLABELDE ENERGIA Y DATOS</v>
      </c>
      <c r="K248" s="2">
        <f>+EDITABLE!K266</f>
        <v>60</v>
      </c>
      <c r="L248" s="24">
        <f>+EDITABLE!L266</f>
        <v>45288</v>
      </c>
    </row>
    <row r="249" spans="1:12" x14ac:dyDescent="0.25">
      <c r="A249" s="3" t="str">
        <f>CONCATENATE(+EDITABLE!C267," ",H249)</f>
        <v>TECLADO-5 LABORATORIO COMPUTACIÓN</v>
      </c>
      <c r="B249" s="3" t="str">
        <f>+EDITABLE!A267</f>
        <v>TECLLABORATO</v>
      </c>
      <c r="C249" s="6">
        <f>+EDITABLE!B267</f>
        <v>1</v>
      </c>
      <c r="D249" s="3" t="str">
        <f>+EDITABLE!D267</f>
        <v>NEGRO/AZUL</v>
      </c>
      <c r="E249" s="3" t="str">
        <f>+EDITABLE!E267</f>
        <v>ALTEK</v>
      </c>
      <c r="F249" s="3" t="str">
        <f>+EDITABLE!F267</f>
        <v>S/M</v>
      </c>
      <c r="G249" s="5" t="str">
        <f>+EDITABLE!G267</f>
        <v>S/S</v>
      </c>
      <c r="H249" s="3" t="str">
        <f>+EDITABLE!H267</f>
        <v>LABORATORIO COMPUTACIÓN</v>
      </c>
      <c r="I249" s="3" t="str">
        <f>+EDITABLE!I267</f>
        <v>BUENO</v>
      </c>
      <c r="J249" s="3" t="str">
        <f>+EDITABLE!J267</f>
        <v>ALAMBRICO, HERGONÓMICO, VARIOS USOS, CONECTOR USB</v>
      </c>
      <c r="K249" s="2">
        <f>+EDITABLE!K267</f>
        <v>17</v>
      </c>
      <c r="L249" s="24">
        <f>+EDITABLE!L267</f>
        <v>45288</v>
      </c>
    </row>
    <row r="250" spans="1:12" x14ac:dyDescent="0.25">
      <c r="A250" s="3" t="str">
        <f>CONCATENATE(+EDITABLE!C268," ",H250)</f>
        <v>MOUSE-5 LABORATORIO COMPUTACIÓN</v>
      </c>
      <c r="B250" s="3" t="str">
        <f>+EDITABLE!A268</f>
        <v>MOUSLABORATO</v>
      </c>
      <c r="C250" s="6">
        <f>+EDITABLE!B268</f>
        <v>1</v>
      </c>
      <c r="D250" s="3" t="str">
        <f>+EDITABLE!D268</f>
        <v>NEGRO</v>
      </c>
      <c r="E250" s="3" t="str">
        <f>+EDITABLE!E268</f>
        <v>GENIUS</v>
      </c>
      <c r="F250" s="3" t="str">
        <f>+EDITABLE!F268</f>
        <v>GM-120014</v>
      </c>
      <c r="G250" s="5" t="str">
        <f>+EDITABLE!G268</f>
        <v>X5D90300603163</v>
      </c>
      <c r="H250" s="3" t="str">
        <f>+EDITABLE!H268</f>
        <v>LABORATORIO COMPUTACIÓN</v>
      </c>
      <c r="I250" s="3" t="str">
        <f>+EDITABLE!I268</f>
        <v>BUENO</v>
      </c>
      <c r="J250" s="3" t="str">
        <f>+EDITABLE!J268</f>
        <v>ALAMBRICO, LED, DISEÑO ERGONÓMICO</v>
      </c>
      <c r="K250" s="2">
        <f>+EDITABLE!K268</f>
        <v>6</v>
      </c>
      <c r="L250" s="24">
        <f>+EDITABLE!L268</f>
        <v>45288</v>
      </c>
    </row>
    <row r="251" spans="1:12" x14ac:dyDescent="0.25">
      <c r="A251" s="3" t="str">
        <f>CONCATENATE(+EDITABLE!C269," ",H251)</f>
        <v>CPU-6 LABORATORIO COMPUTACIÓN</v>
      </c>
      <c r="B251" s="3" t="str">
        <f>+EDITABLE!A269</f>
        <v>CPU-LABORATO</v>
      </c>
      <c r="C251" s="6">
        <f>+EDITABLE!B269</f>
        <v>1</v>
      </c>
      <c r="D251" s="3" t="str">
        <f>+EDITABLE!D269</f>
        <v>NEGRO</v>
      </c>
      <c r="E251" s="3" t="str">
        <f>+EDITABLE!E269</f>
        <v>DELUX</v>
      </c>
      <c r="F251" s="3" t="str">
        <f>+EDITABLE!F269</f>
        <v>GENERICO</v>
      </c>
      <c r="G251" s="5" t="str">
        <f>+EDITABLE!G269</f>
        <v>S/S</v>
      </c>
      <c r="H251" s="3" t="str">
        <f>+EDITABLE!H269</f>
        <v>LABORATORIO COMPUTACIÓN</v>
      </c>
      <c r="I251" s="3" t="str">
        <f>+EDITABLE!I269</f>
        <v>BUENO</v>
      </c>
      <c r="J251" s="3" t="str">
        <f>+EDITABLE!J269</f>
        <v>WINDOWS 8.1 INTERPRISE, PROCESADOR: INTEL ® R CORE TM i5-2310 CPU, 2.90 GHZ, RAM 4 GB, 64 BITS, INTERNET ALÁMBRICO</v>
      </c>
      <c r="K251" s="2">
        <f>+EDITABLE!K269</f>
        <v>250</v>
      </c>
      <c r="L251" s="24">
        <f>+EDITABLE!L269</f>
        <v>45288</v>
      </c>
    </row>
    <row r="252" spans="1:12" x14ac:dyDescent="0.25">
      <c r="A252" s="3" t="str">
        <f>CONCATENATE(+EDITABLE!C270," ",H252)</f>
        <v>MONITOR-6 LABORATORIO COMPUTACIÓN</v>
      </c>
      <c r="B252" s="3" t="str">
        <f>+EDITABLE!A270</f>
        <v>MONILABORATO</v>
      </c>
      <c r="C252" s="6">
        <f>+EDITABLE!B270</f>
        <v>1</v>
      </c>
      <c r="D252" s="3" t="str">
        <f>+EDITABLE!D270</f>
        <v>NEGRO</v>
      </c>
      <c r="E252" s="3" t="str">
        <f>+EDITABLE!E270</f>
        <v>SAMSUNG</v>
      </c>
      <c r="F252" s="3" t="str">
        <f>+EDITABLE!F270</f>
        <v>S19A10N</v>
      </c>
      <c r="G252" s="5" t="str">
        <f>+EDITABLE!G270</f>
        <v>ZT14H4LC400506X</v>
      </c>
      <c r="H252" s="3" t="str">
        <f>+EDITABLE!H270</f>
        <v>LABORATORIO COMPUTACIÓN</v>
      </c>
      <c r="I252" s="3" t="str">
        <f>+EDITABLE!I270</f>
        <v>BUENO</v>
      </c>
      <c r="J252" s="3" t="str">
        <f>+EDITABLE!J270</f>
        <v>DE 19", CONECCIÓN VGA CON CLABELDE ENERGIA Y DATOS</v>
      </c>
      <c r="K252" s="2">
        <f>+EDITABLE!K270</f>
        <v>60</v>
      </c>
      <c r="L252" s="24">
        <f>+EDITABLE!L270</f>
        <v>45288</v>
      </c>
    </row>
    <row r="253" spans="1:12" x14ac:dyDescent="0.25">
      <c r="A253" s="3" t="str">
        <f>CONCATENATE(+EDITABLE!C271," ",H253)</f>
        <v>TECLADO-6 LABORATORIO COMPUTACIÓN</v>
      </c>
      <c r="B253" s="3" t="str">
        <f>+EDITABLE!A271</f>
        <v>TECLLABORATO</v>
      </c>
      <c r="C253" s="6">
        <f>+EDITABLE!B271</f>
        <v>1</v>
      </c>
      <c r="D253" s="3" t="str">
        <f>+EDITABLE!D271</f>
        <v>NEGRO</v>
      </c>
      <c r="E253" s="3" t="str">
        <f>+EDITABLE!E271</f>
        <v>GENIUS</v>
      </c>
      <c r="F253" s="3" t="str">
        <f>+EDITABLE!F271</f>
        <v>KB-115</v>
      </c>
      <c r="G253" s="5" t="str">
        <f>+EDITABLE!G271</f>
        <v>19M2705681</v>
      </c>
      <c r="H253" s="3" t="str">
        <f>+EDITABLE!H271</f>
        <v>LABORATORIO COMPUTACIÓN</v>
      </c>
      <c r="I253" s="3" t="str">
        <f>+EDITABLE!I271</f>
        <v>BUENO</v>
      </c>
      <c r="J253" s="3" t="str">
        <f>+EDITABLE!J271</f>
        <v>ALAMBRICO, CONECTOR USB, COMPATIBLE PARA JUEGOS, TECLADO NUMÉRICO.</v>
      </c>
      <c r="K253" s="2">
        <f>+EDITABLE!K271</f>
        <v>10</v>
      </c>
      <c r="L253" s="24">
        <f>+EDITABLE!L271</f>
        <v>45288</v>
      </c>
    </row>
    <row r="254" spans="1:12" x14ac:dyDescent="0.25">
      <c r="A254" s="3" t="str">
        <f>CONCATENATE(+EDITABLE!C272," ",H254)</f>
        <v>MOUSE-6 LABORATORIO COMPUTACIÓN</v>
      </c>
      <c r="B254" s="3" t="str">
        <f>+EDITABLE!A272</f>
        <v>MOUSLABORATO</v>
      </c>
      <c r="C254" s="6">
        <f>+EDITABLE!B272</f>
        <v>1</v>
      </c>
      <c r="D254" s="3" t="str">
        <f>+EDITABLE!D272</f>
        <v>NEGRO/GRIS</v>
      </c>
      <c r="E254" s="3" t="str">
        <f>+EDITABLE!E272</f>
        <v>DELUX</v>
      </c>
      <c r="F254" s="3" t="str">
        <f>+EDITABLE!F272</f>
        <v>M312</v>
      </c>
      <c r="G254" s="5" t="str">
        <f>+EDITABLE!G272</f>
        <v>M3121110053297</v>
      </c>
      <c r="H254" s="3" t="str">
        <f>+EDITABLE!H272</f>
        <v>LABORATORIO COMPUTACIÓN</v>
      </c>
      <c r="I254" s="3" t="str">
        <f>+EDITABLE!I272</f>
        <v>BUENO</v>
      </c>
      <c r="J254" s="3" t="str">
        <f>+EDITABLE!J272</f>
        <v>ALAMBRICO Y LUZ LED, USB</v>
      </c>
      <c r="K254" s="2">
        <f>+EDITABLE!K272</f>
        <v>5</v>
      </c>
      <c r="L254" s="24">
        <f>+EDITABLE!L272</f>
        <v>45288</v>
      </c>
    </row>
    <row r="255" spans="1:12" x14ac:dyDescent="0.25">
      <c r="A255" s="3" t="str">
        <f>CONCATENATE(+EDITABLE!C273," ",H255)</f>
        <v>CPU-7 LABORATORIO COMPUTACIÓN</v>
      </c>
      <c r="B255" s="3" t="str">
        <f>+EDITABLE!A273</f>
        <v>CPU-LABORATO</v>
      </c>
      <c r="C255" s="6">
        <f>+EDITABLE!B273</f>
        <v>1</v>
      </c>
      <c r="D255" s="3" t="str">
        <f>+EDITABLE!D273</f>
        <v>NEGRO</v>
      </c>
      <c r="E255" s="3" t="str">
        <f>+EDITABLE!E273</f>
        <v>DELUX</v>
      </c>
      <c r="F255" s="3" t="str">
        <f>+EDITABLE!F273</f>
        <v>S/M</v>
      </c>
      <c r="G255" s="5" t="str">
        <f>+EDITABLE!G273</f>
        <v>S/S</v>
      </c>
      <c r="H255" s="3" t="str">
        <f>+EDITABLE!H273</f>
        <v>LABORATORIO COMPUTACIÓN</v>
      </c>
      <c r="I255" s="3" t="str">
        <f>+EDITABLE!I273</f>
        <v>BUENO</v>
      </c>
      <c r="J255" s="3" t="str">
        <f>+EDITABLE!J273</f>
        <v>WINDOWS 8.1 INTERPRISE, PROCESADOR: INTEL ® R CORE TM i5-2320 CPU, 3.00 GHZ, RAM 4 GB, 64 BITS, INTERNET ALÁMBRICO</v>
      </c>
      <c r="K255" s="2">
        <f>+EDITABLE!K273</f>
        <v>250</v>
      </c>
      <c r="L255" s="24">
        <f>+EDITABLE!L273</f>
        <v>45288</v>
      </c>
    </row>
    <row r="256" spans="1:12" x14ac:dyDescent="0.25">
      <c r="A256" s="3" t="str">
        <f>CONCATENATE(+EDITABLE!C274," ",H256)</f>
        <v>MONITOR-7 LABORATORIO COMPUTACIÓN</v>
      </c>
      <c r="B256" s="3" t="str">
        <f>+EDITABLE!A274</f>
        <v>MONILABORATO</v>
      </c>
      <c r="C256" s="6">
        <f>+EDITABLE!B274</f>
        <v>1</v>
      </c>
      <c r="D256" s="3" t="str">
        <f>+EDITABLE!D274</f>
        <v>NEGRO</v>
      </c>
      <c r="E256" s="3" t="str">
        <f>+EDITABLE!E274</f>
        <v>SAMSUNG</v>
      </c>
      <c r="F256" s="3" t="str">
        <f>+EDITABLE!F274</f>
        <v>S19A10N</v>
      </c>
      <c r="G256" s="5" t="str">
        <f>+EDITABLE!G274</f>
        <v>ZT14H4LC401238D</v>
      </c>
      <c r="H256" s="3" t="str">
        <f>+EDITABLE!H274</f>
        <v>LABORATORIO COMPUTACIÓN</v>
      </c>
      <c r="I256" s="3" t="str">
        <f>+EDITABLE!I274</f>
        <v>BUENO</v>
      </c>
      <c r="J256" s="3" t="str">
        <f>+EDITABLE!J274</f>
        <v>DE 19", CONECCIÓN VGA CON CLABELDE ENERGIA Y DATOS</v>
      </c>
      <c r="K256" s="2">
        <f>+EDITABLE!K274</f>
        <v>60</v>
      </c>
      <c r="L256" s="24">
        <f>+EDITABLE!L274</f>
        <v>45288</v>
      </c>
    </row>
    <row r="257" spans="1:12" x14ac:dyDescent="0.25">
      <c r="A257" s="3" t="str">
        <f>CONCATENATE(+EDITABLE!C275," ",H257)</f>
        <v>TECLADO-7 LABORATORIO COMPUTACIÓN</v>
      </c>
      <c r="B257" s="3" t="str">
        <f>+EDITABLE!A275</f>
        <v>TECLLABORATO</v>
      </c>
      <c r="C257" s="6">
        <f>+EDITABLE!B275</f>
        <v>1</v>
      </c>
      <c r="D257" s="3" t="str">
        <f>+EDITABLE!D275</f>
        <v>NEGRO</v>
      </c>
      <c r="E257" s="3" t="str">
        <f>+EDITABLE!E275</f>
        <v>GENIUS</v>
      </c>
      <c r="F257" s="3" t="str">
        <f>+EDITABLE!F275</f>
        <v>KB-115</v>
      </c>
      <c r="G257" s="5" t="str">
        <f>+EDITABLE!G275</f>
        <v>19M2705687</v>
      </c>
      <c r="H257" s="3" t="str">
        <f>+EDITABLE!H275</f>
        <v>LABORATORIO COMPUTACIÓN</v>
      </c>
      <c r="I257" s="3" t="str">
        <f>+EDITABLE!I275</f>
        <v>BUENO</v>
      </c>
      <c r="J257" s="3" t="str">
        <f>+EDITABLE!J275</f>
        <v>ALAMBRICO, CONECTOR USB, COMPATIBLE PARA JUEGOS, TECLADO NUMÉRICO.</v>
      </c>
      <c r="K257" s="2">
        <f>+EDITABLE!K275</f>
        <v>10</v>
      </c>
      <c r="L257" s="24">
        <f>+EDITABLE!L275</f>
        <v>45288</v>
      </c>
    </row>
    <row r="258" spans="1:12" x14ac:dyDescent="0.25">
      <c r="A258" s="3" t="str">
        <f>CONCATENATE(+EDITABLE!C276," ",H258)</f>
        <v>MOUSE-7 LABORATORIO COMPUTACIÓN</v>
      </c>
      <c r="B258" s="3" t="str">
        <f>+EDITABLE!A276</f>
        <v>MOUSLABORATO</v>
      </c>
      <c r="C258" s="6">
        <f>+EDITABLE!B276</f>
        <v>1</v>
      </c>
      <c r="D258" s="3" t="str">
        <f>+EDITABLE!D276</f>
        <v>NEGRO</v>
      </c>
      <c r="E258" s="3" t="str">
        <f>+EDITABLE!E276</f>
        <v>GENIUS</v>
      </c>
      <c r="F258" s="3" t="str">
        <f>+EDITABLE!F276</f>
        <v>DX-160</v>
      </c>
      <c r="G258" s="5" t="str">
        <f>+EDITABLE!G276</f>
        <v>D19M2705687</v>
      </c>
      <c r="H258" s="3" t="str">
        <f>+EDITABLE!H276</f>
        <v>LABORATORIO COMPUTACIÓN</v>
      </c>
      <c r="I258" s="3" t="str">
        <f>+EDITABLE!I276</f>
        <v>BUENO</v>
      </c>
      <c r="J258" s="3" t="str">
        <f>+EDITABLE!J276</f>
        <v>ALAMBRICO, LED, DISEÑO ERGONÓMICO</v>
      </c>
      <c r="K258" s="2">
        <f>+EDITABLE!K276</f>
        <v>6</v>
      </c>
      <c r="L258" s="24">
        <f>+EDITABLE!L276</f>
        <v>45288</v>
      </c>
    </row>
    <row r="259" spans="1:12" x14ac:dyDescent="0.25">
      <c r="A259" s="3" t="str">
        <f>CONCATENATE(+EDITABLE!C277," ",H259)</f>
        <v>CPU-8 LABORATORIO COMPUTACIÓN</v>
      </c>
      <c r="B259" s="3" t="str">
        <f>+EDITABLE!A277</f>
        <v>CPU-LABORATO</v>
      </c>
      <c r="C259" s="6">
        <f>+EDITABLE!B277</f>
        <v>1</v>
      </c>
      <c r="D259" s="3" t="str">
        <f>+EDITABLE!D277</f>
        <v>NEGRO</v>
      </c>
      <c r="E259" s="3" t="str">
        <f>+EDITABLE!E277</f>
        <v>ZIP</v>
      </c>
      <c r="F259" s="3" t="str">
        <f>+EDITABLE!F277</f>
        <v>GENERICO</v>
      </c>
      <c r="G259" s="5" t="str">
        <f>+EDITABLE!G277</f>
        <v>S/S</v>
      </c>
      <c r="H259" s="3" t="str">
        <f>+EDITABLE!H277</f>
        <v>LABORATORIO COMPUTACIÓN</v>
      </c>
      <c r="I259" s="3" t="str">
        <f>+EDITABLE!I277</f>
        <v>BUENO</v>
      </c>
      <c r="J259" s="3" t="str">
        <f>+EDITABLE!J277</f>
        <v>WINDOWS 8.1 INTERPRISE, PROCESADOR: INTEL ® R CORE TM i5-2310 CPU, 3.90 GHZ, RAM 4 GB, 64 BITS, INTERNET ALÁMBRICO</v>
      </c>
      <c r="K259" s="2">
        <f>+EDITABLE!K277</f>
        <v>250</v>
      </c>
      <c r="L259" s="24">
        <f>+EDITABLE!L277</f>
        <v>45288</v>
      </c>
    </row>
    <row r="260" spans="1:12" x14ac:dyDescent="0.25">
      <c r="A260" s="3" t="str">
        <f>CONCATENATE(+EDITABLE!C278," ",H260)</f>
        <v>MONITOR-8 LABORATORIO COMPUTACIÓN</v>
      </c>
      <c r="B260" s="3" t="str">
        <f>+EDITABLE!A278</f>
        <v>MONILABORATO</v>
      </c>
      <c r="C260" s="6">
        <f>+EDITABLE!B278</f>
        <v>1</v>
      </c>
      <c r="D260" s="3" t="str">
        <f>+EDITABLE!D278</f>
        <v>NEGRO</v>
      </c>
      <c r="E260" s="3" t="str">
        <f>+EDITABLE!E278</f>
        <v>HP</v>
      </c>
      <c r="F260" s="3" t="str">
        <f>+EDITABLE!F278</f>
        <v>LV1911</v>
      </c>
      <c r="G260" s="5" t="str">
        <f>+EDITABLE!G278</f>
        <v>6CM2113016R</v>
      </c>
      <c r="H260" s="3" t="str">
        <f>+EDITABLE!H278</f>
        <v>LABORATORIO COMPUTACIÓN</v>
      </c>
      <c r="I260" s="3" t="str">
        <f>+EDITABLE!I278</f>
        <v>BUENO</v>
      </c>
      <c r="J260" s="3" t="str">
        <f>+EDITABLE!J278</f>
        <v>DE 19", CONECCIÓN VGA CON CLABELDE ENERGIA Y DATOS</v>
      </c>
      <c r="K260" s="2">
        <f>+EDITABLE!K278</f>
        <v>100</v>
      </c>
      <c r="L260" s="24">
        <f>+EDITABLE!L278</f>
        <v>45288</v>
      </c>
    </row>
    <row r="261" spans="1:12" x14ac:dyDescent="0.25">
      <c r="A261" s="3" t="str">
        <f>CONCATENATE(+EDITABLE!C279," ",H261)</f>
        <v>TECLADO-8 LABORATORIO COMPUTACIÓN</v>
      </c>
      <c r="B261" s="3" t="str">
        <f>+EDITABLE!A279</f>
        <v>TECLLABORATO</v>
      </c>
      <c r="C261" s="6">
        <f>+EDITABLE!B279</f>
        <v>1</v>
      </c>
      <c r="D261" s="3" t="str">
        <f>+EDITABLE!D279</f>
        <v>NEGRO</v>
      </c>
      <c r="E261" s="3" t="str">
        <f>+EDITABLE!E279</f>
        <v>GENIUS</v>
      </c>
      <c r="F261" s="3" t="str">
        <f>+EDITABLE!F279</f>
        <v>KB-115</v>
      </c>
      <c r="G261" s="5" t="str">
        <f>+EDITABLE!G279</f>
        <v>19M2705683</v>
      </c>
      <c r="H261" s="3" t="str">
        <f>+EDITABLE!H279</f>
        <v>LABORATORIO COMPUTACIÓN</v>
      </c>
      <c r="I261" s="3" t="str">
        <f>+EDITABLE!I279</f>
        <v>BUENO</v>
      </c>
      <c r="J261" s="3" t="str">
        <f>+EDITABLE!J279</f>
        <v>ALAMBRICO, CONECTOR USB, COMPATIBLE PARA JUEGOS, TECLADO NUMÉRICO.</v>
      </c>
      <c r="K261" s="2">
        <f>+EDITABLE!K279</f>
        <v>10</v>
      </c>
      <c r="L261" s="24">
        <f>+EDITABLE!L279</f>
        <v>45288</v>
      </c>
    </row>
    <row r="262" spans="1:12" x14ac:dyDescent="0.25">
      <c r="A262" s="3" t="str">
        <f>CONCATENATE(+EDITABLE!C280," ",H262)</f>
        <v>MOUSE-8 LABORATORIO COMPUTACIÓN</v>
      </c>
      <c r="B262" s="3" t="str">
        <f>+EDITABLE!A280</f>
        <v>MOUSLABORATO</v>
      </c>
      <c r="C262" s="6">
        <f>+EDITABLE!B280</f>
        <v>1</v>
      </c>
      <c r="D262" s="3" t="str">
        <f>+EDITABLE!D280</f>
        <v>NEGRO/GRIS</v>
      </c>
      <c r="E262" s="3" t="str">
        <f>+EDITABLE!E280</f>
        <v>GENIUS</v>
      </c>
      <c r="F262" s="3" t="str">
        <f>+EDITABLE!F280</f>
        <v>GM-0500</v>
      </c>
      <c r="G262" s="5" t="str">
        <f>+EDITABLE!G280</f>
        <v>141373302156</v>
      </c>
      <c r="H262" s="3" t="str">
        <f>+EDITABLE!H280</f>
        <v>LABORATORIO COMPUTACIÓN</v>
      </c>
      <c r="I262" s="3" t="str">
        <f>+EDITABLE!I280</f>
        <v>BUENO</v>
      </c>
      <c r="J262" s="3" t="str">
        <f>+EDITABLE!J280</f>
        <v>ALAMBRICO, LED, DISEÑO ERGONÓMICO</v>
      </c>
      <c r="K262" s="2">
        <f>+EDITABLE!K280</f>
        <v>6</v>
      </c>
      <c r="L262" s="24">
        <f>+EDITABLE!L280</f>
        <v>45288</v>
      </c>
    </row>
    <row r="263" spans="1:12" x14ac:dyDescent="0.25">
      <c r="A263" s="3" t="str">
        <f>CONCATENATE(+EDITABLE!C281," ",H263)</f>
        <v>CPU-9 LABORATORIO COMPUTACIÓN</v>
      </c>
      <c r="B263" s="3" t="str">
        <f>+EDITABLE!A281</f>
        <v>CPU-LABORATO</v>
      </c>
      <c r="C263" s="6">
        <f>+EDITABLE!B281</f>
        <v>1</v>
      </c>
      <c r="D263" s="3" t="str">
        <f>+EDITABLE!D281</f>
        <v>NEGRO</v>
      </c>
      <c r="E263" s="3" t="str">
        <f>+EDITABLE!E281</f>
        <v>DELUX</v>
      </c>
      <c r="F263" s="3" t="str">
        <f>+EDITABLE!F281</f>
        <v>GENERICO</v>
      </c>
      <c r="G263" s="5" t="str">
        <f>+EDITABLE!G281</f>
        <v>S/S</v>
      </c>
      <c r="H263" s="3" t="str">
        <f>+EDITABLE!H281</f>
        <v>LABORATORIO COMPUTACIÓN</v>
      </c>
      <c r="I263" s="3" t="str">
        <f>+EDITABLE!I281</f>
        <v>BUENO</v>
      </c>
      <c r="J263" s="3" t="str">
        <f>+EDITABLE!J281</f>
        <v>WINDOWS 8.1 INTERPRISE, PROCESADOR: INTEL ® R CORE TM i5-2109CPU, 3.90 GHZ, RAM 4 GB, 64 BITS, INTERNET ALÁMBRICO</v>
      </c>
      <c r="K263" s="2">
        <f>+EDITABLE!K281</f>
        <v>250</v>
      </c>
      <c r="L263" s="24">
        <f>+EDITABLE!L281</f>
        <v>45288</v>
      </c>
    </row>
    <row r="264" spans="1:12" x14ac:dyDescent="0.25">
      <c r="A264" s="3" t="str">
        <f>CONCATENATE(+EDITABLE!C282," ",H264)</f>
        <v>MONITOR-9 LABORATORIO COMPUTACIÓN</v>
      </c>
      <c r="B264" s="3" t="str">
        <f>+EDITABLE!A282</f>
        <v>MONILABORATO</v>
      </c>
      <c r="C264" s="6">
        <f>+EDITABLE!B282</f>
        <v>1</v>
      </c>
      <c r="D264" s="3" t="str">
        <f>+EDITABLE!D282</f>
        <v>NEGRO</v>
      </c>
      <c r="E264" s="3" t="str">
        <f>+EDITABLE!E282</f>
        <v>SAMSUNG</v>
      </c>
      <c r="F264" s="3" t="str">
        <f>+EDITABLE!F282</f>
        <v>S19A10N</v>
      </c>
      <c r="G264" s="5" t="str">
        <f>+EDITABLE!G282</f>
        <v>ZT14H4NC201948X</v>
      </c>
      <c r="H264" s="3" t="str">
        <f>+EDITABLE!H282</f>
        <v>LABORATORIO COMPUTACIÓN</v>
      </c>
      <c r="I264" s="3" t="str">
        <f>+EDITABLE!I282</f>
        <v>BUENO</v>
      </c>
      <c r="J264" s="3" t="str">
        <f>+EDITABLE!J282</f>
        <v>DE 19", CONECCIÓN VGA CON CLABELDE ENERGIA Y DATOS</v>
      </c>
      <c r="K264" s="2">
        <f>+EDITABLE!K282</f>
        <v>60</v>
      </c>
      <c r="L264" s="24">
        <f>+EDITABLE!L282</f>
        <v>45288</v>
      </c>
    </row>
    <row r="265" spans="1:12" x14ac:dyDescent="0.25">
      <c r="A265" s="3" t="str">
        <f>CONCATENATE(+EDITABLE!C283," ",H265)</f>
        <v>TECLADO-9 LABORATORIO COMPUTACIÓN</v>
      </c>
      <c r="B265" s="3" t="str">
        <f>+EDITABLE!A283</f>
        <v>TECLLABORATO</v>
      </c>
      <c r="C265" s="6">
        <f>+EDITABLE!B283</f>
        <v>1</v>
      </c>
      <c r="D265" s="3" t="str">
        <f>+EDITABLE!D283</f>
        <v>NEGRO</v>
      </c>
      <c r="E265" s="3" t="str">
        <f>+EDITABLE!E283</f>
        <v>GENIUS</v>
      </c>
      <c r="F265" s="3" t="str">
        <f>+EDITABLE!F283</f>
        <v>GK-1011</v>
      </c>
      <c r="G265" s="5" t="str">
        <f>+EDITABLE!G283</f>
        <v>WE150WB12194</v>
      </c>
      <c r="H265" s="3" t="str">
        <f>+EDITABLE!H283</f>
        <v>LABORATORIO COMPUTACIÓN</v>
      </c>
      <c r="I265" s="3" t="str">
        <f>+EDITABLE!I283</f>
        <v>BUENO</v>
      </c>
      <c r="J265" s="3" t="str">
        <f>+EDITABLE!J283</f>
        <v>ALAMBRICO, CONECTOR USB, COMPATIBLE PARA JUEGOS, TECLADO NUMÉRICO.</v>
      </c>
      <c r="K265" s="2">
        <f>+EDITABLE!K283</f>
        <v>10</v>
      </c>
      <c r="L265" s="24">
        <f>+EDITABLE!L283</f>
        <v>45288</v>
      </c>
    </row>
    <row r="266" spans="1:12" x14ac:dyDescent="0.25">
      <c r="A266" s="3" t="str">
        <f>CONCATENATE(+EDITABLE!C284," ",H266)</f>
        <v>MOUSE-9 LABORATORIO COMPUTACIÓN</v>
      </c>
      <c r="B266" s="3" t="str">
        <f>+EDITABLE!A284</f>
        <v>MOUSLABORATO</v>
      </c>
      <c r="C266" s="6">
        <f>+EDITABLE!B284</f>
        <v>1</v>
      </c>
      <c r="D266" s="3" t="str">
        <f>+EDITABLE!D284</f>
        <v>NEGRO</v>
      </c>
      <c r="E266" s="3" t="str">
        <f>+EDITABLE!E284</f>
        <v>GENIUS</v>
      </c>
      <c r="F266" s="3" t="str">
        <f>+EDITABLE!F284</f>
        <v>GM-120014</v>
      </c>
      <c r="G266" s="5" t="str">
        <f>+EDITABLE!G284</f>
        <v>33GB84721700117</v>
      </c>
      <c r="H266" s="3" t="str">
        <f>+EDITABLE!H284</f>
        <v>LABORATORIO COMPUTACIÓN</v>
      </c>
      <c r="I266" s="3" t="str">
        <f>+EDITABLE!I284</f>
        <v>BUENO</v>
      </c>
      <c r="J266" s="3" t="str">
        <f>+EDITABLE!J284</f>
        <v>ALAMBRICO, LED, DISEÑO ERGONÓMICO</v>
      </c>
      <c r="K266" s="2">
        <f>+EDITABLE!K284</f>
        <v>6</v>
      </c>
      <c r="L266" s="24">
        <f>+EDITABLE!L284</f>
        <v>45288</v>
      </c>
    </row>
    <row r="267" spans="1:12" x14ac:dyDescent="0.25">
      <c r="A267" s="3" t="str">
        <f>CONCATENATE(+EDITABLE!C285," ",H267)</f>
        <v>CPU-10 LABORATORIO COMPUTACIÓN</v>
      </c>
      <c r="B267" s="3" t="str">
        <f>+EDITABLE!A285</f>
        <v>CPU-LABORATO</v>
      </c>
      <c r="C267" s="6">
        <f>+EDITABLE!B285</f>
        <v>1</v>
      </c>
      <c r="D267" s="3" t="str">
        <f>+EDITABLE!D285</f>
        <v>NEGRO</v>
      </c>
      <c r="E267" s="3" t="str">
        <f>+EDITABLE!E285</f>
        <v>ALTEK</v>
      </c>
      <c r="F267" s="3" t="str">
        <f>+EDITABLE!F285</f>
        <v>GENERICO</v>
      </c>
      <c r="G267" s="5" t="str">
        <f>+EDITABLE!G285</f>
        <v>S/S</v>
      </c>
      <c r="H267" s="3" t="str">
        <f>+EDITABLE!H285</f>
        <v>LABORATORIO COMPUTACIÓN</v>
      </c>
      <c r="I267" s="3" t="str">
        <f>+EDITABLE!I285</f>
        <v>BUENO</v>
      </c>
      <c r="J267" s="3" t="str">
        <f>+EDITABLE!J285</f>
        <v>WINDOWS 8.1 INTERPRISE, PROCESADOR: INTEL ® R CORE TM 2DUO CPU, E4600 2.40 GHZ, RAM 1.5 GB, 64 BITS, INTERNET ALÁMBRICO</v>
      </c>
      <c r="K267" s="2">
        <f>+EDITABLE!K285</f>
        <v>250</v>
      </c>
      <c r="L267" s="24">
        <f>+EDITABLE!L285</f>
        <v>45288</v>
      </c>
    </row>
    <row r="268" spans="1:12" x14ac:dyDescent="0.25">
      <c r="A268" s="3" t="str">
        <f>CONCATENATE(+EDITABLE!C286," ",H268)</f>
        <v>MONITOR-10 LABORATORIO COMPUTACIÓN</v>
      </c>
      <c r="B268" s="3" t="str">
        <f>+EDITABLE!A286</f>
        <v>MONILABORATO</v>
      </c>
      <c r="C268" s="6">
        <f>+EDITABLE!B286</f>
        <v>1</v>
      </c>
      <c r="D268" s="3" t="str">
        <f>+EDITABLE!D286</f>
        <v>NEGRO</v>
      </c>
      <c r="E268" s="3" t="str">
        <f>+EDITABLE!E286</f>
        <v>SAMSUNG</v>
      </c>
      <c r="F268" s="3" t="str">
        <f>+EDITABLE!F286</f>
        <v>S19A10N</v>
      </c>
      <c r="G268" s="5" t="str">
        <f>+EDITABLE!G286</f>
        <v>ZT14H4LC402734Y</v>
      </c>
      <c r="H268" s="3" t="str">
        <f>+EDITABLE!H286</f>
        <v>LABORATORIO COMPUTACIÓN</v>
      </c>
      <c r="I268" s="3" t="str">
        <f>+EDITABLE!I286</f>
        <v>BUENO</v>
      </c>
      <c r="J268" s="3" t="str">
        <f>+EDITABLE!J286</f>
        <v>DE 19", CONECCIÓN VGA CON CLABELDE ENERGIA Y DATOS</v>
      </c>
      <c r="K268" s="2">
        <f>+EDITABLE!K286</f>
        <v>60</v>
      </c>
      <c r="L268" s="24">
        <f>+EDITABLE!L286</f>
        <v>45288</v>
      </c>
    </row>
    <row r="269" spans="1:12" x14ac:dyDescent="0.25">
      <c r="A269" s="3" t="str">
        <f>CONCATENATE(+EDITABLE!C287," ",H269)</f>
        <v>TECLADO-10 LABORATORIO COMPUTACIÓN</v>
      </c>
      <c r="B269" s="3" t="str">
        <f>+EDITABLE!A287</f>
        <v>TECLLABORATO</v>
      </c>
      <c r="C269" s="6">
        <f>+EDITABLE!B287</f>
        <v>1</v>
      </c>
      <c r="D269" s="3" t="str">
        <f>+EDITABLE!D287</f>
        <v>NEGRO</v>
      </c>
      <c r="E269" s="3" t="str">
        <f>+EDITABLE!E287</f>
        <v>DELUX</v>
      </c>
      <c r="F269" s="3" t="str">
        <f>+EDITABLE!F287</f>
        <v>K5015</v>
      </c>
      <c r="G269" s="5" t="str">
        <f>+EDITABLE!G287</f>
        <v>K50151110000241</v>
      </c>
      <c r="H269" s="3" t="str">
        <f>+EDITABLE!H287</f>
        <v>LABORATORIO COMPUTACIÓN</v>
      </c>
      <c r="I269" s="3" t="str">
        <f>+EDITABLE!I287</f>
        <v>BUENO</v>
      </c>
      <c r="J269" s="3" t="str">
        <f>+EDITABLE!J287</f>
        <v>ALAMBRICO, HERGONÓMICO, VARIOS USOS, CONECTOR USB</v>
      </c>
      <c r="K269" s="2">
        <f>+EDITABLE!K287</f>
        <v>17</v>
      </c>
      <c r="L269" s="24">
        <f>+EDITABLE!L287</f>
        <v>45288</v>
      </c>
    </row>
    <row r="270" spans="1:12" x14ac:dyDescent="0.25">
      <c r="A270" s="3" t="str">
        <f>CONCATENATE(+EDITABLE!C288," ",H270)</f>
        <v>MOUSE-10 LABORATORIO COMPUTACIÓN</v>
      </c>
      <c r="B270" s="3" t="str">
        <f>+EDITABLE!A288</f>
        <v>MOUSLABORATO</v>
      </c>
      <c r="C270" s="6">
        <f>+EDITABLE!B288</f>
        <v>1</v>
      </c>
      <c r="D270" s="3" t="str">
        <f>+EDITABLE!D288</f>
        <v>NEGRO</v>
      </c>
      <c r="E270" s="3" t="str">
        <f>+EDITABLE!E288</f>
        <v>GENIUS</v>
      </c>
      <c r="F270" s="3" t="str">
        <f>+EDITABLE!F288</f>
        <v>DX160</v>
      </c>
      <c r="G270" s="5" t="str">
        <f>+EDITABLE!G288</f>
        <v>UD19M2705685</v>
      </c>
      <c r="H270" s="3" t="str">
        <f>+EDITABLE!H288</f>
        <v>LABORATORIO COMPUTACIÓN</v>
      </c>
      <c r="I270" s="3" t="str">
        <f>+EDITABLE!I288</f>
        <v>BUENO</v>
      </c>
      <c r="J270" s="3" t="str">
        <f>+EDITABLE!J288</f>
        <v>ALAMBRICO, LED, DISEÑO ERGONÓMICO</v>
      </c>
      <c r="K270" s="2">
        <f>+EDITABLE!K288</f>
        <v>6</v>
      </c>
      <c r="L270" s="24">
        <f>+EDITABLE!L288</f>
        <v>45288</v>
      </c>
    </row>
    <row r="271" spans="1:12" x14ac:dyDescent="0.25">
      <c r="A271" s="3" t="str">
        <f>CONCATENATE(+EDITABLE!C289," ",H271)</f>
        <v>CPU-11 LABORATORIO COMPUTACIÓN</v>
      </c>
      <c r="B271" s="3" t="str">
        <f>+EDITABLE!A289</f>
        <v>CPU-LABORATO</v>
      </c>
      <c r="C271" s="6">
        <f>+EDITABLE!B289</f>
        <v>1</v>
      </c>
      <c r="D271" s="3" t="str">
        <f>+EDITABLE!D289</f>
        <v>NEGRO</v>
      </c>
      <c r="E271" s="3" t="str">
        <f>+EDITABLE!E289</f>
        <v>DELUX</v>
      </c>
      <c r="F271" s="3" t="str">
        <f>+EDITABLE!F289</f>
        <v>GENERICO</v>
      </c>
      <c r="G271" s="5" t="str">
        <f>+EDITABLE!G289</f>
        <v>S/S</v>
      </c>
      <c r="H271" s="3" t="str">
        <f>+EDITABLE!H289</f>
        <v>LABORATORIO COMPUTACIÓN</v>
      </c>
      <c r="I271" s="3" t="str">
        <f>+EDITABLE!I289</f>
        <v>BUENO</v>
      </c>
      <c r="J271" s="3" t="str">
        <f>+EDITABLE!J289</f>
        <v>WINDOWS 8.1 INTERPRISE, PROCESADOR: INTEL ® R CORE TM i5-2310 CPU, 3.90 GHZ, RAM 4 GB, 64 BITS, INTERNET ALÁMBRICO</v>
      </c>
      <c r="K271" s="2">
        <f>+EDITABLE!K289</f>
        <v>250</v>
      </c>
      <c r="L271" s="24">
        <f>+EDITABLE!L289</f>
        <v>45288</v>
      </c>
    </row>
    <row r="272" spans="1:12" x14ac:dyDescent="0.25">
      <c r="A272" s="3" t="str">
        <f>CONCATENATE(+EDITABLE!C290," ",H272)</f>
        <v>MONITOR-11 LABORATORIO COMPUTACIÓN</v>
      </c>
      <c r="B272" s="3" t="str">
        <f>+EDITABLE!A290</f>
        <v>MONILABORATO</v>
      </c>
      <c r="C272" s="6">
        <f>+EDITABLE!B290</f>
        <v>1</v>
      </c>
      <c r="D272" s="3" t="str">
        <f>+EDITABLE!D290</f>
        <v>NEGRO</v>
      </c>
      <c r="E272" s="3" t="str">
        <f>+EDITABLE!E290</f>
        <v>SAMSUNG</v>
      </c>
      <c r="F272" s="3" t="str">
        <f>+EDITABLE!F290</f>
        <v>B1930N</v>
      </c>
      <c r="G272" s="5" t="str">
        <f>+EDITABLE!G290</f>
        <v>YC5RH9MB509363B</v>
      </c>
      <c r="H272" s="3" t="str">
        <f>+EDITABLE!H290</f>
        <v>LABORATORIO COMPUTACIÓN</v>
      </c>
      <c r="I272" s="3" t="str">
        <f>+EDITABLE!I290</f>
        <v>BUENO</v>
      </c>
      <c r="J272" s="3" t="str">
        <f>+EDITABLE!J290</f>
        <v>DE 19", CONECCIÓN VGA CON CLABELDE ENERGIA Y DATOS</v>
      </c>
      <c r="K272" s="2">
        <f>+EDITABLE!K290</f>
        <v>60</v>
      </c>
      <c r="L272" s="24">
        <f>+EDITABLE!L290</f>
        <v>45288</v>
      </c>
    </row>
    <row r="273" spans="1:12" x14ac:dyDescent="0.25">
      <c r="A273" s="3" t="str">
        <f>CONCATENATE(+EDITABLE!C291," ",H273)</f>
        <v>TECLADO-11 LABORATORIO COMPUTACIÓN</v>
      </c>
      <c r="B273" s="3" t="str">
        <f>+EDITABLE!A291</f>
        <v>TECLLABORATO</v>
      </c>
      <c r="C273" s="6">
        <f>+EDITABLE!B291</f>
        <v>1</v>
      </c>
      <c r="D273" s="3" t="str">
        <f>+EDITABLE!D291</f>
        <v>NEGRO</v>
      </c>
      <c r="E273" s="3" t="str">
        <f>+EDITABLE!E291</f>
        <v>DELUX</v>
      </c>
      <c r="F273" s="3" t="str">
        <f>+EDITABLE!F291</f>
        <v>K5015</v>
      </c>
      <c r="G273" s="5" t="str">
        <f>+EDITABLE!G291</f>
        <v>K50151110000367</v>
      </c>
      <c r="H273" s="3" t="str">
        <f>+EDITABLE!H291</f>
        <v>LABORATORIO COMPUTACIÓN</v>
      </c>
      <c r="I273" s="3" t="str">
        <f>+EDITABLE!I291</f>
        <v>BUENO</v>
      </c>
      <c r="J273" s="3" t="str">
        <f>+EDITABLE!J291</f>
        <v>ALAMBRICO, HERGONÓMICO, VARIOS USOS, CONECTOR USB</v>
      </c>
      <c r="K273" s="2">
        <f>+EDITABLE!K291</f>
        <v>17</v>
      </c>
      <c r="L273" s="24">
        <f>+EDITABLE!L291</f>
        <v>45288</v>
      </c>
    </row>
    <row r="274" spans="1:12" x14ac:dyDescent="0.25">
      <c r="A274" s="3" t="str">
        <f>CONCATENATE(+EDITABLE!C292," ",H274)</f>
        <v>MOUSE-11 LABORATORIO COMPUTACIÓN</v>
      </c>
      <c r="B274" s="3" t="str">
        <f>+EDITABLE!A292</f>
        <v>MOUSLABORATO</v>
      </c>
      <c r="C274" s="6">
        <f>+EDITABLE!B292</f>
        <v>1</v>
      </c>
      <c r="D274" s="3" t="str">
        <f>+EDITABLE!D292</f>
        <v>NEGRO</v>
      </c>
      <c r="E274" s="3" t="str">
        <f>+EDITABLE!E292</f>
        <v>GENIUS</v>
      </c>
      <c r="F274" s="3" t="str">
        <f>+EDITABLE!F292</f>
        <v>DX160</v>
      </c>
      <c r="G274" s="5" t="str">
        <f>+EDITABLE!G292</f>
        <v>UD19M2705683</v>
      </c>
      <c r="H274" s="3" t="str">
        <f>+EDITABLE!H292</f>
        <v>LABORATORIO COMPUTACIÓN</v>
      </c>
      <c r="I274" s="3" t="str">
        <f>+EDITABLE!I292</f>
        <v>BUENO</v>
      </c>
      <c r="J274" s="3" t="str">
        <f>+EDITABLE!J292</f>
        <v>ALAMBRICO, LED, DISEÑO ERGONÓMICO</v>
      </c>
      <c r="K274" s="2">
        <f>+EDITABLE!K292</f>
        <v>6</v>
      </c>
      <c r="L274" s="24">
        <f>+EDITABLE!L292</f>
        <v>45288</v>
      </c>
    </row>
    <row r="275" spans="1:12" x14ac:dyDescent="0.25">
      <c r="A275" s="3" t="str">
        <f>CONCATENATE(+EDITABLE!C293," ",H275)</f>
        <v>CPU-12 LABORATORIO COMPUTACIÓN</v>
      </c>
      <c r="B275" s="3" t="str">
        <f>+EDITABLE!A293</f>
        <v>CPU-LABORATO</v>
      </c>
      <c r="C275" s="6">
        <f>+EDITABLE!B293</f>
        <v>1</v>
      </c>
      <c r="D275" s="3" t="str">
        <f>+EDITABLE!D293</f>
        <v>NEGRO</v>
      </c>
      <c r="E275" s="3" t="str">
        <f>+EDITABLE!E293</f>
        <v>DELUX</v>
      </c>
      <c r="F275" s="3" t="str">
        <f>+EDITABLE!F293</f>
        <v>GENERICO</v>
      </c>
      <c r="G275" s="5" t="str">
        <f>+EDITABLE!G293</f>
        <v>S/S</v>
      </c>
      <c r="H275" s="3" t="str">
        <f>+EDITABLE!H293</f>
        <v>LABORATORIO COMPUTACIÓN</v>
      </c>
      <c r="I275" s="3" t="str">
        <f>+EDITABLE!I293</f>
        <v>BUENO</v>
      </c>
      <c r="J275" s="3" t="str">
        <f>+EDITABLE!J293</f>
        <v>WINDOWS 8.1 INTERPRISE, PROCESADOR: INTEL ® R CORE TM i5-2310 CPU, 2.90 GHZ, RAM 4 GB, 64 BITS, INTERNET ALÁMBRICO</v>
      </c>
      <c r="K275" s="2">
        <f>+EDITABLE!K293</f>
        <v>250</v>
      </c>
      <c r="L275" s="24">
        <f>+EDITABLE!L293</f>
        <v>45288</v>
      </c>
    </row>
    <row r="276" spans="1:12" x14ac:dyDescent="0.25">
      <c r="A276" s="3" t="str">
        <f>CONCATENATE(+EDITABLE!C294," ",H276)</f>
        <v>MONITOR-12 LABORATORIO COMPUTACIÓN</v>
      </c>
      <c r="B276" s="3" t="str">
        <f>+EDITABLE!A294</f>
        <v>MONILABORATO</v>
      </c>
      <c r="C276" s="6">
        <f>+EDITABLE!B294</f>
        <v>1</v>
      </c>
      <c r="D276" s="3" t="str">
        <f>+EDITABLE!D294</f>
        <v>NEGRO</v>
      </c>
      <c r="E276" s="3" t="str">
        <f>+EDITABLE!E294</f>
        <v>LG</v>
      </c>
      <c r="F276" s="3" t="str">
        <f>+EDITABLE!F294</f>
        <v>W1942ST</v>
      </c>
      <c r="G276" s="5" t="str">
        <f>+EDITABLE!G294</f>
        <v>812MXDM0A554</v>
      </c>
      <c r="H276" s="3" t="str">
        <f>+EDITABLE!H294</f>
        <v>LABORATORIO COMPUTACIÓN</v>
      </c>
      <c r="I276" s="3" t="str">
        <f>+EDITABLE!I294</f>
        <v>BUENO</v>
      </c>
      <c r="J276" s="3" t="str">
        <f>+EDITABLE!J294</f>
        <v>DE 19", CONECCIÓN VGA CON CLABELDE ENERGIA Y DATOS</v>
      </c>
      <c r="K276" s="2">
        <f>+EDITABLE!K294</f>
        <v>60</v>
      </c>
      <c r="L276" s="24">
        <f>+EDITABLE!L294</f>
        <v>45288</v>
      </c>
    </row>
    <row r="277" spans="1:12" x14ac:dyDescent="0.25">
      <c r="A277" s="3" t="str">
        <f>CONCATENATE(+EDITABLE!C295," ",H277)</f>
        <v>TECLADO-12 LABORATORIO COMPUTACIÓN</v>
      </c>
      <c r="B277" s="3" t="str">
        <f>+EDITABLE!A295</f>
        <v>TECLLABORATO</v>
      </c>
      <c r="C277" s="6">
        <f>+EDITABLE!B295</f>
        <v>1</v>
      </c>
      <c r="D277" s="3" t="str">
        <f>+EDITABLE!D295</f>
        <v>NEGRO/ROJO</v>
      </c>
      <c r="E277" s="3" t="str">
        <f>+EDITABLE!E295</f>
        <v>ALTEK</v>
      </c>
      <c r="F277" s="3" t="str">
        <f>+EDITABLE!F295</f>
        <v>GENERICO</v>
      </c>
      <c r="G277" s="5" t="str">
        <f>+EDITABLE!G295</f>
        <v>3856130600473</v>
      </c>
      <c r="H277" s="3" t="str">
        <f>+EDITABLE!H295</f>
        <v>LABORATORIO COMPUTACIÓN</v>
      </c>
      <c r="I277" s="3" t="str">
        <f>+EDITABLE!I295</f>
        <v>BUENO</v>
      </c>
      <c r="J277" s="3" t="str">
        <f>+EDITABLE!J295</f>
        <v>ALAMBRICO, HERGONÓMICO, VARIOS USOS, CONECTOR USB</v>
      </c>
      <c r="K277" s="2">
        <f>+EDITABLE!K295</f>
        <v>17</v>
      </c>
      <c r="L277" s="24">
        <f>+EDITABLE!L295</f>
        <v>45288</v>
      </c>
    </row>
    <row r="278" spans="1:12" x14ac:dyDescent="0.25">
      <c r="A278" s="3" t="str">
        <f>CONCATENATE(+EDITABLE!C296," ",H278)</f>
        <v>MOUSE-12 LABORATORIO COMPUTACIÓN</v>
      </c>
      <c r="B278" s="3" t="str">
        <f>+EDITABLE!A296</f>
        <v>MOUSLABORATO</v>
      </c>
      <c r="C278" s="6">
        <f>+EDITABLE!B296</f>
        <v>1</v>
      </c>
      <c r="D278" s="3" t="str">
        <f>+EDITABLE!D296</f>
        <v>NEGRO</v>
      </c>
      <c r="E278" s="3" t="str">
        <f>+EDITABLE!E296</f>
        <v>JEUANG</v>
      </c>
      <c r="F278" s="3" t="str">
        <f>+EDITABLE!F296</f>
        <v>GENERICO</v>
      </c>
      <c r="G278" s="5" t="str">
        <f>+EDITABLE!G296</f>
        <v>S/S</v>
      </c>
      <c r="H278" s="3" t="str">
        <f>+EDITABLE!H296</f>
        <v>LABORATORIO COMPUTACIÓN</v>
      </c>
      <c r="I278" s="3" t="str">
        <f>+EDITABLE!I296</f>
        <v>BUENO</v>
      </c>
      <c r="J278" s="3" t="str">
        <f>+EDITABLE!J296</f>
        <v>ALAMBRICO, LUZ LED, DISEÑO ERGOÓMICO</v>
      </c>
      <c r="K278" s="2">
        <f>+EDITABLE!K296</f>
        <v>6</v>
      </c>
      <c r="L278" s="24">
        <f>+EDITABLE!L296</f>
        <v>45288</v>
      </c>
    </row>
    <row r="279" spans="1:12" x14ac:dyDescent="0.25">
      <c r="A279" s="3" t="str">
        <f>CONCATENATE(+EDITABLE!C297," ",H279)</f>
        <v>CPU-13 LABORATORIO COMPUTACIÓN</v>
      </c>
      <c r="B279" s="3" t="str">
        <f>+EDITABLE!A297</f>
        <v>CPU-LABORATO</v>
      </c>
      <c r="C279" s="6">
        <f>+EDITABLE!B297</f>
        <v>1</v>
      </c>
      <c r="D279" s="3" t="str">
        <f>+EDITABLE!D297</f>
        <v>NEGRO/AZUL</v>
      </c>
      <c r="E279" s="3" t="str">
        <f>+EDITABLE!E297</f>
        <v>ALTEK</v>
      </c>
      <c r="F279" s="3" t="str">
        <f>+EDITABLE!F297</f>
        <v>GENERICO</v>
      </c>
      <c r="G279" s="5" t="str">
        <f>+EDITABLE!G297</f>
        <v>3856130601394</v>
      </c>
      <c r="H279" s="3" t="str">
        <f>+EDITABLE!H297</f>
        <v>LABORATORIO COMPUTACIÓN</v>
      </c>
      <c r="I279" s="3" t="str">
        <f>+EDITABLE!I297</f>
        <v>BUENO</v>
      </c>
      <c r="J279" s="3" t="str">
        <f>+EDITABLE!J297</f>
        <v>WINDOWS 8.1 INTERPRISE, PROCESADOR: INTEL ® R CORE TM i5-3330 CPU, 3.00 GHZ, RAM 4 GB, 64 BITS, INTERNET ALÁMBRICO</v>
      </c>
      <c r="K279" s="2">
        <f>+EDITABLE!K297</f>
        <v>250</v>
      </c>
      <c r="L279" s="24">
        <f>+EDITABLE!L297</f>
        <v>45288</v>
      </c>
    </row>
    <row r="280" spans="1:12" x14ac:dyDescent="0.25">
      <c r="A280" s="3" t="str">
        <f>CONCATENATE(+EDITABLE!C298," ",H280)</f>
        <v>MONITOR-13 LABORATORIO COMPUTACIÓN</v>
      </c>
      <c r="B280" s="3" t="str">
        <f>+EDITABLE!A298</f>
        <v>MONILABORATO</v>
      </c>
      <c r="C280" s="6">
        <f>+EDITABLE!B298</f>
        <v>1</v>
      </c>
      <c r="D280" s="3" t="str">
        <f>+EDITABLE!D298</f>
        <v>NEGRO</v>
      </c>
      <c r="E280" s="3" t="str">
        <f>+EDITABLE!E298</f>
        <v>SAMSUNG</v>
      </c>
      <c r="F280" s="3" t="str">
        <f>+EDITABLE!F298</f>
        <v>S19A10N</v>
      </c>
      <c r="G280" s="5" t="str">
        <f>+EDITABLE!G298</f>
        <v>ZT14H4LC201317M</v>
      </c>
      <c r="H280" s="3" t="str">
        <f>+EDITABLE!H298</f>
        <v>LABORATORIO COMPUTACIÓN</v>
      </c>
      <c r="I280" s="3" t="str">
        <f>+EDITABLE!I298</f>
        <v>BUENO</v>
      </c>
      <c r="J280" s="3" t="str">
        <f>+EDITABLE!J298</f>
        <v>DE 19", CONECCIÓN VGA CON CLABELDE ENERGIA Y DATOS</v>
      </c>
      <c r="K280" s="2">
        <f>+EDITABLE!K298</f>
        <v>60</v>
      </c>
      <c r="L280" s="24">
        <f>+EDITABLE!L298</f>
        <v>45288</v>
      </c>
    </row>
    <row r="281" spans="1:12" x14ac:dyDescent="0.25">
      <c r="A281" s="3" t="str">
        <f>CONCATENATE(+EDITABLE!C299," ",H281)</f>
        <v>TECLADO-13 LABORATORIO COMPUTACIÓN</v>
      </c>
      <c r="B281" s="3" t="str">
        <f>+EDITABLE!A299</f>
        <v>TECLLABORATO</v>
      </c>
      <c r="C281" s="6">
        <f>+EDITABLE!B299</f>
        <v>1</v>
      </c>
      <c r="D281" s="3" t="str">
        <f>+EDITABLE!D299</f>
        <v>NEGRO</v>
      </c>
      <c r="E281" s="3" t="str">
        <f>+EDITABLE!E299</f>
        <v>GENIUS</v>
      </c>
      <c r="F281" s="3" t="str">
        <f>+EDITABLE!F299</f>
        <v>KB-115</v>
      </c>
      <c r="G281" s="5" t="str">
        <f>+EDITABLE!G299</f>
        <v>UD19M2705688</v>
      </c>
      <c r="H281" s="3" t="str">
        <f>+EDITABLE!H299</f>
        <v>LABORATORIO COMPUTACIÓN</v>
      </c>
      <c r="I281" s="3" t="str">
        <f>+EDITABLE!I299</f>
        <v>BUENO</v>
      </c>
      <c r="J281" s="3" t="str">
        <f>+EDITABLE!J299</f>
        <v>ALAMBRICO, CONECTOR USB, COMPATIBLE PARA JUEGOS, TECLADO NUMÉRICO.</v>
      </c>
      <c r="K281" s="2">
        <f>+EDITABLE!K299</f>
        <v>10</v>
      </c>
      <c r="L281" s="24">
        <f>+EDITABLE!L299</f>
        <v>45288</v>
      </c>
    </row>
    <row r="282" spans="1:12" x14ac:dyDescent="0.25">
      <c r="A282" s="3" t="str">
        <f>CONCATENATE(+EDITABLE!C300," ",H282)</f>
        <v>MOUSE-13 LABORATORIO COMPUTACIÓN</v>
      </c>
      <c r="B282" s="3" t="str">
        <f>+EDITABLE!A300</f>
        <v>MOUSLABORATO</v>
      </c>
      <c r="C282" s="6">
        <f>+EDITABLE!B300</f>
        <v>1</v>
      </c>
      <c r="D282" s="3" t="str">
        <f>+EDITABLE!D300</f>
        <v>NEGRO/GRIS</v>
      </c>
      <c r="E282" s="3" t="str">
        <f>+EDITABLE!E300</f>
        <v>DELUX</v>
      </c>
      <c r="F282" s="3" t="str">
        <f>+EDITABLE!F300</f>
        <v>M312</v>
      </c>
      <c r="G282" s="5" t="str">
        <f>+EDITABLE!G300</f>
        <v>M3121110062790</v>
      </c>
      <c r="H282" s="3" t="str">
        <f>+EDITABLE!H300</f>
        <v>LABORATORIO COMPUTACIÓN</v>
      </c>
      <c r="I282" s="3" t="str">
        <f>+EDITABLE!I300</f>
        <v>BUENO</v>
      </c>
      <c r="J282" s="3" t="str">
        <f>+EDITABLE!J300</f>
        <v>ALAMBRICO Y LUZ LED, USB</v>
      </c>
      <c r="K282" s="2">
        <f>+EDITABLE!K300</f>
        <v>5</v>
      </c>
      <c r="L282" s="24">
        <f>+EDITABLE!L300</f>
        <v>45288</v>
      </c>
    </row>
    <row r="283" spans="1:12" x14ac:dyDescent="0.25">
      <c r="A283" s="3" t="str">
        <f>CONCATENATE(+EDITABLE!C301," ",H283)</f>
        <v>CPU-14 LABORATORIO COMPUTACIÓN</v>
      </c>
      <c r="B283" s="3" t="str">
        <f>+EDITABLE!A301</f>
        <v>CPU-LABORATO</v>
      </c>
      <c r="C283" s="6">
        <f>+EDITABLE!B301</f>
        <v>1</v>
      </c>
      <c r="D283" s="3" t="str">
        <f>+EDITABLE!D301</f>
        <v>NEGRO</v>
      </c>
      <c r="E283" s="3" t="str">
        <f>+EDITABLE!E301</f>
        <v>DELUX</v>
      </c>
      <c r="F283" s="3" t="str">
        <f>+EDITABLE!F301</f>
        <v>GENERICO</v>
      </c>
      <c r="G283" s="5" t="str">
        <f>+EDITABLE!G301</f>
        <v>S/S</v>
      </c>
      <c r="H283" s="3" t="str">
        <f>+EDITABLE!H301</f>
        <v>LABORATORIO COMPUTACIÓN</v>
      </c>
      <c r="I283" s="3" t="str">
        <f>+EDITABLE!I301</f>
        <v>BUENO</v>
      </c>
      <c r="J283" s="3" t="str">
        <f>+EDITABLE!J301</f>
        <v>WINDOWS 8.1 INTERPRISE, PROCESADOR: INTEL ® R CORE TM i5-2310 CPU, 2.90 GHZ, RAM 4 GB, 64 BITS, INTERNET ALÁMBRICO</v>
      </c>
      <c r="K283" s="2">
        <f>+EDITABLE!K301</f>
        <v>250</v>
      </c>
      <c r="L283" s="24">
        <f>+EDITABLE!L301</f>
        <v>45288</v>
      </c>
    </row>
    <row r="284" spans="1:12" x14ac:dyDescent="0.25">
      <c r="A284" s="3" t="str">
        <f>CONCATENATE(+EDITABLE!C302," ",H284)</f>
        <v>MONITOR-14 LABORATORIO COMPUTACIÓN</v>
      </c>
      <c r="B284" s="3" t="str">
        <f>+EDITABLE!A302</f>
        <v>MONILABORATO</v>
      </c>
      <c r="C284" s="6">
        <f>+EDITABLE!B302</f>
        <v>1</v>
      </c>
      <c r="D284" s="3" t="str">
        <f>+EDITABLE!D302</f>
        <v>NEGRO</v>
      </c>
      <c r="E284" s="3" t="str">
        <f>+EDITABLE!E302</f>
        <v>SAMSUNG</v>
      </c>
      <c r="F284" s="3" t="str">
        <f>+EDITABLE!F302</f>
        <v>S19A10N</v>
      </c>
      <c r="G284" s="5" t="str">
        <f>+EDITABLE!G302</f>
        <v>ZT14H4LC400590H</v>
      </c>
      <c r="H284" s="3" t="str">
        <f>+EDITABLE!H302</f>
        <v>LABORATORIO COMPUTACIÓN</v>
      </c>
      <c r="I284" s="3" t="str">
        <f>+EDITABLE!I302</f>
        <v>BUENO</v>
      </c>
      <c r="J284" s="3" t="str">
        <f>+EDITABLE!J302</f>
        <v>DE 19", CONECCIÓN VGA CON CLABELDE ENERGIA Y DATOS</v>
      </c>
      <c r="K284" s="2">
        <f>+EDITABLE!K302</f>
        <v>60</v>
      </c>
      <c r="L284" s="24">
        <f>+EDITABLE!L302</f>
        <v>45288</v>
      </c>
    </row>
    <row r="285" spans="1:12" x14ac:dyDescent="0.25">
      <c r="A285" s="3" t="str">
        <f>CONCATENATE(+EDITABLE!C303," ",H285)</f>
        <v>TECLADO-14 LABORATORIO COMPUTACIÓN</v>
      </c>
      <c r="B285" s="3" t="str">
        <f>+EDITABLE!A303</f>
        <v>TECLLABORATO</v>
      </c>
      <c r="C285" s="6">
        <f>+EDITABLE!B303</f>
        <v>1</v>
      </c>
      <c r="D285" s="3" t="str">
        <f>+EDITABLE!D303</f>
        <v>NEGRO</v>
      </c>
      <c r="E285" s="3" t="str">
        <f>+EDITABLE!E303</f>
        <v>GENIUS</v>
      </c>
      <c r="F285" s="3" t="str">
        <f>+EDITABLE!F303</f>
        <v>KB-115</v>
      </c>
      <c r="G285" s="5" t="str">
        <f>+EDITABLE!G303</f>
        <v>UD19M2705684</v>
      </c>
      <c r="H285" s="3" t="str">
        <f>+EDITABLE!H303</f>
        <v>LABORATORIO COMPUTACIÓN</v>
      </c>
      <c r="I285" s="3" t="str">
        <f>+EDITABLE!I303</f>
        <v>BUENO</v>
      </c>
      <c r="J285" s="3" t="str">
        <f>+EDITABLE!J303</f>
        <v>ALAMBRICO, CONECTOR USB, COMPATIBLE PARA JUEGOS, TECLADO NUMÉRICO.</v>
      </c>
      <c r="K285" s="2">
        <f>+EDITABLE!K303</f>
        <v>10</v>
      </c>
      <c r="L285" s="24">
        <f>+EDITABLE!L303</f>
        <v>45288</v>
      </c>
    </row>
    <row r="286" spans="1:12" x14ac:dyDescent="0.25">
      <c r="A286" s="3" t="str">
        <f>CONCATENATE(+EDITABLE!C304," ",H286)</f>
        <v>MOUSE-14 LABORATORIO COMPUTACIÓN</v>
      </c>
      <c r="B286" s="3" t="str">
        <f>+EDITABLE!A304</f>
        <v>MOUSLABORATO</v>
      </c>
      <c r="C286" s="6">
        <f>+EDITABLE!B304</f>
        <v>1</v>
      </c>
      <c r="D286" s="3" t="str">
        <f>+EDITABLE!D304</f>
        <v>NEGRO</v>
      </c>
      <c r="E286" s="3" t="str">
        <f>+EDITABLE!E304</f>
        <v>ALTEK</v>
      </c>
      <c r="F286" s="3" t="str">
        <f>+EDITABLE!F304</f>
        <v>S/M</v>
      </c>
      <c r="G286" s="5" t="str">
        <f>+EDITABLE!G304</f>
        <v>3856130600463</v>
      </c>
      <c r="H286" s="3" t="str">
        <f>+EDITABLE!H304</f>
        <v>LABORATORIO COMPUTACIÓN</v>
      </c>
      <c r="I286" s="3" t="str">
        <f>+EDITABLE!I304</f>
        <v>BUENO</v>
      </c>
      <c r="J286" s="3" t="str">
        <f>+EDITABLE!J304</f>
        <v>ALAMBRICO, LUZ LED, DISEÑO ERGONÍMICO</v>
      </c>
      <c r="K286" s="2">
        <f>+EDITABLE!K304</f>
        <v>6</v>
      </c>
      <c r="L286" s="24">
        <f>+EDITABLE!L304</f>
        <v>45288</v>
      </c>
    </row>
    <row r="287" spans="1:12" x14ac:dyDescent="0.25">
      <c r="A287" s="3" t="str">
        <f>CONCATENATE(+EDITABLE!C305," ",H287)</f>
        <v>CPU-15 LABORATORIO COMPUTACIÓN</v>
      </c>
      <c r="B287" s="3" t="str">
        <f>+EDITABLE!A305</f>
        <v>CPU-LABORATO</v>
      </c>
      <c r="C287" s="6">
        <f>+EDITABLE!B305</f>
        <v>1</v>
      </c>
      <c r="D287" s="3" t="str">
        <f>+EDITABLE!D305</f>
        <v>NEGRO</v>
      </c>
      <c r="E287" s="3" t="str">
        <f>+EDITABLE!E305</f>
        <v>SION</v>
      </c>
      <c r="F287" s="3" t="str">
        <f>+EDITABLE!F305</f>
        <v>SIONCOREI5SAM20</v>
      </c>
      <c r="G287" s="5">
        <f>+EDITABLE!G305</f>
        <v>81979</v>
      </c>
      <c r="H287" s="3" t="str">
        <f>+EDITABLE!H305</f>
        <v>LABORATORIO COMPUTACIÓN</v>
      </c>
      <c r="I287" s="3" t="str">
        <f>+EDITABLE!I305</f>
        <v>BUENO</v>
      </c>
      <c r="J287" s="3" t="str">
        <f>+EDITABLE!J305</f>
        <v>WINDOWS 8.1 INTERPRISE, PROCESADOR: INTEL ® R CORE TM i5-4460 CPU, 3.20 GHZ, RAM 4 GB, 64 BITS, INTERNET ALÁMBRICO</v>
      </c>
      <c r="K287" s="2">
        <f>+EDITABLE!K305</f>
        <v>250</v>
      </c>
      <c r="L287" s="24">
        <f>+EDITABLE!L305</f>
        <v>45288</v>
      </c>
    </row>
    <row r="288" spans="1:12" x14ac:dyDescent="0.25">
      <c r="A288" s="3" t="str">
        <f>CONCATENATE(+EDITABLE!C306," ",H288)</f>
        <v>MONITOR-15 LABORATORIO COMPUTACIÓN</v>
      </c>
      <c r="B288" s="3" t="str">
        <f>+EDITABLE!A306</f>
        <v>MONILABORATO</v>
      </c>
      <c r="C288" s="6">
        <f>+EDITABLE!B306</f>
        <v>1</v>
      </c>
      <c r="D288" s="3" t="str">
        <f>+EDITABLE!D306</f>
        <v>NEGRO</v>
      </c>
      <c r="E288" s="3" t="str">
        <f>+EDITABLE!E306</f>
        <v>SAMSUNG</v>
      </c>
      <c r="F288" s="3" t="str">
        <f>+EDITABLE!F306</f>
        <v>S19A10N</v>
      </c>
      <c r="G288" s="5" t="str">
        <f>+EDITABLE!G306</f>
        <v>ZT14H4LC402827D</v>
      </c>
      <c r="H288" s="3" t="str">
        <f>+EDITABLE!H306</f>
        <v>LABORATORIO COMPUTACIÓN</v>
      </c>
      <c r="I288" s="3" t="str">
        <f>+EDITABLE!I306</f>
        <v>BUENO</v>
      </c>
      <c r="J288" s="3" t="str">
        <f>+EDITABLE!J306</f>
        <v>DE 19", CONECCIÓN VGA CON CLABELDE ENERGIA Y DATOS</v>
      </c>
      <c r="K288" s="2">
        <f>+EDITABLE!K306</f>
        <v>60</v>
      </c>
      <c r="L288" s="24">
        <f>+EDITABLE!L306</f>
        <v>45288</v>
      </c>
    </row>
    <row r="289" spans="1:12" x14ac:dyDescent="0.25">
      <c r="A289" s="3" t="str">
        <f>CONCATENATE(+EDITABLE!C307," ",H289)</f>
        <v>TECLADO-15 LABORATORIO COMPUTACIÓN</v>
      </c>
      <c r="B289" s="3" t="str">
        <f>+EDITABLE!A307</f>
        <v>TECLLABORATO</v>
      </c>
      <c r="C289" s="6">
        <f>+EDITABLE!B307</f>
        <v>1</v>
      </c>
      <c r="D289" s="3" t="str">
        <f>+EDITABLE!D307</f>
        <v>NEGRO</v>
      </c>
      <c r="E289" s="3" t="str">
        <f>+EDITABLE!E307</f>
        <v>DELUX</v>
      </c>
      <c r="F289" s="3" t="str">
        <f>+EDITABLE!F307</f>
        <v>K5015</v>
      </c>
      <c r="G289" s="5" t="str">
        <f>+EDITABLE!G307</f>
        <v>K50151110000106</v>
      </c>
      <c r="H289" s="3" t="str">
        <f>+EDITABLE!H307</f>
        <v>LABORATORIO COMPUTACIÓN</v>
      </c>
      <c r="I289" s="3" t="str">
        <f>+EDITABLE!I307</f>
        <v>BUENO</v>
      </c>
      <c r="J289" s="3" t="str">
        <f>+EDITABLE!J307</f>
        <v>ALAMBRICO, HERGONÓMICO, VARIOS USOS, CONECTOR USB</v>
      </c>
      <c r="K289" s="2">
        <f>+EDITABLE!K307</f>
        <v>17</v>
      </c>
      <c r="L289" s="24">
        <f>+EDITABLE!L307</f>
        <v>45288</v>
      </c>
    </row>
    <row r="290" spans="1:12" x14ac:dyDescent="0.25">
      <c r="A290" s="3" t="str">
        <f>CONCATENATE(+EDITABLE!C308," ",H290)</f>
        <v>MOUSE-15 LABORATORIO COMPUTACIÓN</v>
      </c>
      <c r="B290" s="3" t="str">
        <f>+EDITABLE!A308</f>
        <v>MOUSLABORATO</v>
      </c>
      <c r="C290" s="6">
        <f>+EDITABLE!B308</f>
        <v>1</v>
      </c>
      <c r="D290" s="3" t="str">
        <f>+EDITABLE!D308</f>
        <v>NEGRO</v>
      </c>
      <c r="E290" s="3" t="str">
        <f>+EDITABLE!E308</f>
        <v>GENIUS</v>
      </c>
      <c r="F290" s="3" t="str">
        <f>+EDITABLE!F308</f>
        <v>DX-160</v>
      </c>
      <c r="G290" s="5" t="str">
        <f>+EDITABLE!G308</f>
        <v>19M2705688</v>
      </c>
      <c r="H290" s="3" t="str">
        <f>+EDITABLE!H308</f>
        <v>LABORATORIO COMPUTACIÓN</v>
      </c>
      <c r="I290" s="3" t="str">
        <f>+EDITABLE!I308</f>
        <v>BUENO</v>
      </c>
      <c r="J290" s="3" t="str">
        <f>+EDITABLE!J308</f>
        <v>ALAMBRICO, LED, DISEÑO ERGONÓMICO</v>
      </c>
      <c r="K290" s="2">
        <f>+EDITABLE!K308</f>
        <v>6</v>
      </c>
      <c r="L290" s="24">
        <f>+EDITABLE!L308</f>
        <v>45288</v>
      </c>
    </row>
    <row r="291" spans="1:12" x14ac:dyDescent="0.25">
      <c r="A291" s="3" t="str">
        <f>CONCATENATE(+EDITABLE!C309," ",H291)</f>
        <v>CAMARA VIDEO VIGILANCIA LABORATORIO COMPUTACIÓN</v>
      </c>
      <c r="B291" s="3" t="str">
        <f>+EDITABLE!A309</f>
        <v>CAMALABORATO</v>
      </c>
      <c r="C291" s="6">
        <f>+EDITABLE!B309</f>
        <v>1</v>
      </c>
      <c r="D291" s="3" t="str">
        <f>+EDITABLE!D309</f>
        <v>BLANCO</v>
      </c>
      <c r="E291" s="3" t="str">
        <f>+EDITABLE!E309</f>
        <v>HIKVISION</v>
      </c>
      <c r="F291" s="3" t="str">
        <f>+EDITABLE!F309</f>
        <v>S/M</v>
      </c>
      <c r="G291" s="5" t="str">
        <f>+EDITABLE!G309</f>
        <v>S/S</v>
      </c>
      <c r="H291" s="3" t="str">
        <f>+EDITABLE!H309</f>
        <v>LABORATORIO COMPUTACIÓN</v>
      </c>
      <c r="I291" s="3" t="str">
        <f>+EDITABLE!I309</f>
        <v>BUENO</v>
      </c>
      <c r="J291" s="3" t="str">
        <f>+EDITABLE!J309</f>
        <v>CONECTADA AL DVR Y VISION EN MOVIL Y CUARTO DE RED</v>
      </c>
      <c r="K291" s="2">
        <f>+EDITABLE!K309</f>
        <v>25</v>
      </c>
      <c r="L291" s="24">
        <f>+EDITABLE!L309</f>
        <v>44841</v>
      </c>
    </row>
    <row r="292" spans="1:12" x14ac:dyDescent="0.25">
      <c r="A292" s="3" t="str">
        <f>CONCATENATE(+EDITABLE!C310," ",H292)</f>
        <v>REGULADOR-1 LABORATORIO COMPUTACIÓN</v>
      </c>
      <c r="B292" s="3" t="str">
        <f>+EDITABLE!A310</f>
        <v>REGULABORATO</v>
      </c>
      <c r="C292" s="6">
        <f>+EDITABLE!B310</f>
        <v>1</v>
      </c>
      <c r="D292" s="3" t="str">
        <f>+EDITABLE!D310</f>
        <v>NEGRO AZUL</v>
      </c>
      <c r="E292" s="3" t="str">
        <f>+EDITABLE!E310</f>
        <v>QUASAD</v>
      </c>
      <c r="F292" s="3" t="str">
        <f>+EDITABLE!F310</f>
        <v>QAVR-1050BL</v>
      </c>
      <c r="G292" s="5" t="str">
        <f>+EDITABLE!G310</f>
        <v>194913332851</v>
      </c>
      <c r="H292" s="3" t="str">
        <f>+EDITABLE!H310</f>
        <v>LABORATORIO COMPUTACIÓN</v>
      </c>
      <c r="I292" s="3" t="str">
        <f>+EDITABLE!I310</f>
        <v>BUENO</v>
      </c>
      <c r="J292" s="3" t="str">
        <f>+EDITABLE!J310</f>
        <v>DE 8 TOMAS</v>
      </c>
      <c r="K292" s="2">
        <f>+EDITABLE!K310</f>
        <v>18</v>
      </c>
      <c r="L292" s="24">
        <f>+EDITABLE!L310</f>
        <v>45288</v>
      </c>
    </row>
    <row r="293" spans="1:12" x14ac:dyDescent="0.25">
      <c r="A293" s="3" t="str">
        <f>CONCATENATE(+EDITABLE!C311," ",H293)</f>
        <v>REGULADOR-2 LABORATORIO COMPUTACIÓN</v>
      </c>
      <c r="B293" s="3" t="str">
        <f>+EDITABLE!A311</f>
        <v>REGULABORATO</v>
      </c>
      <c r="C293" s="6">
        <f>+EDITABLE!B311</f>
        <v>1</v>
      </c>
      <c r="D293" s="3" t="str">
        <f>+EDITABLE!D311</f>
        <v>NEGRO AZUL</v>
      </c>
      <c r="E293" s="3" t="str">
        <f>+EDITABLE!E311</f>
        <v>QUASAD</v>
      </c>
      <c r="F293" s="3" t="str">
        <f>+EDITABLE!F311</f>
        <v>QAVR-1050BL</v>
      </c>
      <c r="G293" s="5" t="str">
        <f>+EDITABLE!G311</f>
        <v>194913332855</v>
      </c>
      <c r="H293" s="3" t="str">
        <f>+EDITABLE!H311</f>
        <v>LABORATORIO COMPUTACIÓN</v>
      </c>
      <c r="I293" s="3" t="str">
        <f>+EDITABLE!I311</f>
        <v>BUENO</v>
      </c>
      <c r="J293" s="3" t="str">
        <f>+EDITABLE!J311</f>
        <v>DE 8 TOMAS</v>
      </c>
      <c r="K293" s="2">
        <f>+EDITABLE!K311</f>
        <v>18</v>
      </c>
      <c r="L293" s="24">
        <f>+EDITABLE!L311</f>
        <v>45288</v>
      </c>
    </row>
    <row r="294" spans="1:12" x14ac:dyDescent="0.25">
      <c r="A294" s="3" t="str">
        <f>CONCATENATE(+EDITABLE!C312," ",H294)</f>
        <v>REGULADOR-3 LABORATORIO COMPUTACIÓN</v>
      </c>
      <c r="B294" s="3" t="str">
        <f>+EDITABLE!A312</f>
        <v>REGULABORATO</v>
      </c>
      <c r="C294" s="6">
        <f>+EDITABLE!B312</f>
        <v>1</v>
      </c>
      <c r="D294" s="3" t="str">
        <f>+EDITABLE!D312</f>
        <v>NEGRO VERDE</v>
      </c>
      <c r="E294" s="3" t="str">
        <f>+EDITABLE!E312</f>
        <v>QUASAD</v>
      </c>
      <c r="F294" s="3" t="str">
        <f>+EDITABLE!F312</f>
        <v>QAVR-1050BL</v>
      </c>
      <c r="G294" s="5" t="str">
        <f>+EDITABLE!G312</f>
        <v>194913333582</v>
      </c>
      <c r="H294" s="3" t="str">
        <f>+EDITABLE!H312</f>
        <v>LABORATORIO COMPUTACIÓN</v>
      </c>
      <c r="I294" s="3" t="str">
        <f>+EDITABLE!I312</f>
        <v>BUENO</v>
      </c>
      <c r="J294" s="3" t="str">
        <f>+EDITABLE!J312</f>
        <v>DE 8 TOMAS</v>
      </c>
      <c r="K294" s="2">
        <f>+EDITABLE!K312</f>
        <v>18</v>
      </c>
      <c r="L294" s="24">
        <f>+EDITABLE!L312</f>
        <v>45288</v>
      </c>
    </row>
    <row r="295" spans="1:12" x14ac:dyDescent="0.25">
      <c r="A295" s="3" t="str">
        <f>CONCATENATE(+EDITABLE!C313," ",H295)</f>
        <v>REGULADOR-4 LABORATORIO COMPUTACIÓN</v>
      </c>
      <c r="B295" s="3" t="str">
        <f>+EDITABLE!A313</f>
        <v>REGULABORATO</v>
      </c>
      <c r="C295" s="6">
        <f>+EDITABLE!B313</f>
        <v>1</v>
      </c>
      <c r="D295" s="3" t="str">
        <f>+EDITABLE!D313</f>
        <v>NEGRO VERDE</v>
      </c>
      <c r="E295" s="3" t="str">
        <f>+EDITABLE!E313</f>
        <v>QUASAD</v>
      </c>
      <c r="F295" s="3" t="str">
        <f>+EDITABLE!F313</f>
        <v>QAVR-1050BL</v>
      </c>
      <c r="G295" s="5" t="str">
        <f>+EDITABLE!G313</f>
        <v>194913333578</v>
      </c>
      <c r="H295" s="3" t="str">
        <f>+EDITABLE!H313</f>
        <v>LABORATORIO COMPUTACIÓN</v>
      </c>
      <c r="I295" s="3" t="str">
        <f>+EDITABLE!I313</f>
        <v>BUENO</v>
      </c>
      <c r="J295" s="3" t="str">
        <f>+EDITABLE!J313</f>
        <v>DE 8 TOMAS</v>
      </c>
      <c r="K295" s="2">
        <f>+EDITABLE!K313</f>
        <v>18</v>
      </c>
      <c r="L295" s="24">
        <f>+EDITABLE!L313</f>
        <v>45288</v>
      </c>
    </row>
    <row r="296" spans="1:12" x14ac:dyDescent="0.25">
      <c r="A296" s="3" t="str">
        <f>CONCATENATE(+EDITABLE!C314," ",H296)</f>
        <v>REGULADOR-5 LABORATORIO COMPUTACIÓN</v>
      </c>
      <c r="B296" s="3" t="str">
        <f>+EDITABLE!A314</f>
        <v>REGULABORATO</v>
      </c>
      <c r="C296" s="6">
        <f>+EDITABLE!B314</f>
        <v>1</v>
      </c>
      <c r="D296" s="3" t="str">
        <f>+EDITABLE!D314</f>
        <v>NEGRO AMARILLO</v>
      </c>
      <c r="E296" s="3" t="str">
        <f>+EDITABLE!E314</f>
        <v>QUASAD</v>
      </c>
      <c r="F296" s="3" t="str">
        <f>+EDITABLE!F314</f>
        <v>QAVR-1050BL</v>
      </c>
      <c r="G296" s="5" t="str">
        <f>+EDITABLE!G314</f>
        <v>194913334061</v>
      </c>
      <c r="H296" s="3" t="str">
        <f>+EDITABLE!H314</f>
        <v>LABORATORIO COMPUTACIÓN</v>
      </c>
      <c r="I296" s="3" t="str">
        <f>+EDITABLE!I314</f>
        <v>BUENO</v>
      </c>
      <c r="J296" s="3" t="str">
        <f>+EDITABLE!J314</f>
        <v>DE 8 TOMAS</v>
      </c>
      <c r="K296" s="2">
        <f>+EDITABLE!K314</f>
        <v>18</v>
      </c>
      <c r="L296" s="24">
        <f>+EDITABLE!L314</f>
        <v>45288</v>
      </c>
    </row>
    <row r="297" spans="1:12" x14ac:dyDescent="0.25">
      <c r="A297" s="3" t="str">
        <f>CONCATENATE(+EDITABLE!C315," ",H297)</f>
        <v>REGULADOR-6 LABORATORIO COMPUTACIÓN</v>
      </c>
      <c r="B297" s="3" t="str">
        <f>+EDITABLE!A315</f>
        <v>REGULABORATO</v>
      </c>
      <c r="C297" s="6">
        <f>+EDITABLE!B315</f>
        <v>1</v>
      </c>
      <c r="D297" s="3" t="str">
        <f>+EDITABLE!D315</f>
        <v>NEGRO AZUL</v>
      </c>
      <c r="E297" s="3" t="str">
        <f>+EDITABLE!E315</f>
        <v>QUASAD</v>
      </c>
      <c r="F297" s="3" t="str">
        <f>+EDITABLE!F315</f>
        <v>QAVR-1050BL</v>
      </c>
      <c r="G297" s="5" t="str">
        <f>+EDITABLE!G315</f>
        <v>194913332848</v>
      </c>
      <c r="H297" s="3" t="str">
        <f>+EDITABLE!H315</f>
        <v>LABORATORIO COMPUTACIÓN</v>
      </c>
      <c r="I297" s="3" t="str">
        <f>+EDITABLE!I315</f>
        <v>BUENO</v>
      </c>
      <c r="J297" s="3" t="str">
        <f>+EDITABLE!J315</f>
        <v>DE 8 TOMAS</v>
      </c>
      <c r="K297" s="2">
        <f>+EDITABLE!K315</f>
        <v>18</v>
      </c>
      <c r="L297" s="24">
        <f>+EDITABLE!L315</f>
        <v>45288</v>
      </c>
    </row>
    <row r="298" spans="1:12" x14ac:dyDescent="0.25">
      <c r="A298" s="3" t="str">
        <f>CONCATENATE(+EDITABLE!C316," ",H298)</f>
        <v>REGULADOR-7 LABORATORIO COMPUTACIÓN</v>
      </c>
      <c r="B298" s="3" t="str">
        <f>+EDITABLE!A316</f>
        <v>REGULABORATO</v>
      </c>
      <c r="C298" s="6">
        <f>+EDITABLE!B316</f>
        <v>1</v>
      </c>
      <c r="D298" s="3" t="str">
        <f>+EDITABLE!D316</f>
        <v>NEGRO AMARILLO</v>
      </c>
      <c r="E298" s="3" t="str">
        <f>+EDITABLE!E316</f>
        <v>QUASAD</v>
      </c>
      <c r="F298" s="3" t="str">
        <f>+EDITABLE!F316</f>
        <v>QAVR-1050BL</v>
      </c>
      <c r="G298" s="5" t="str">
        <f>+EDITABLE!G316</f>
        <v>194913334066</v>
      </c>
      <c r="H298" s="3" t="str">
        <f>+EDITABLE!H316</f>
        <v>LABORATORIO COMPUTACIÓN</v>
      </c>
      <c r="I298" s="3" t="str">
        <f>+EDITABLE!I316</f>
        <v>BUENO</v>
      </c>
      <c r="J298" s="3" t="str">
        <f>+EDITABLE!J316</f>
        <v>DE 8 TOMAS</v>
      </c>
      <c r="K298" s="2">
        <f>+EDITABLE!K316</f>
        <v>18</v>
      </c>
      <c r="L298" s="24">
        <f>+EDITABLE!L316</f>
        <v>45288</v>
      </c>
    </row>
    <row r="299" spans="1:12" x14ac:dyDescent="0.25">
      <c r="A299" s="3" t="str">
        <f>CONCATENATE(+EDITABLE!C317," ",H299)</f>
        <v>REGULADOR-8 LABORATORIO COMPUTACIÓN</v>
      </c>
      <c r="B299" s="3" t="str">
        <f>+EDITABLE!A317</f>
        <v>REGULABORATO</v>
      </c>
      <c r="C299" s="6">
        <f>+EDITABLE!B317</f>
        <v>1</v>
      </c>
      <c r="D299" s="3" t="str">
        <f>+EDITABLE!D317</f>
        <v>NEGRO AZUL</v>
      </c>
      <c r="E299" s="3" t="str">
        <f>+EDITABLE!E317</f>
        <v>QUASAD</v>
      </c>
      <c r="F299" s="3" t="str">
        <f>+EDITABLE!F317</f>
        <v>QAVR-1050BL</v>
      </c>
      <c r="G299" s="5" t="str">
        <f>+EDITABLE!G317</f>
        <v>194913332847</v>
      </c>
      <c r="H299" s="3" t="str">
        <f>+EDITABLE!H317</f>
        <v>LABORATORIO COMPUTACIÓN</v>
      </c>
      <c r="I299" s="3" t="str">
        <f>+EDITABLE!I317</f>
        <v>BUENO</v>
      </c>
      <c r="J299" s="3" t="str">
        <f>+EDITABLE!J317</f>
        <v>DE 8 TOMAS</v>
      </c>
      <c r="K299" s="2">
        <f>+EDITABLE!K317</f>
        <v>18</v>
      </c>
      <c r="L299" s="24">
        <f>+EDITABLE!L317</f>
        <v>45288</v>
      </c>
    </row>
    <row r="300" spans="1:12" x14ac:dyDescent="0.25">
      <c r="A300" s="3" t="str">
        <f>CONCATENATE(+EDITABLE!C318," ",H300)</f>
        <v>PROYECTOR LABORATORIO COMPUTACIÓN</v>
      </c>
      <c r="B300" s="3" t="str">
        <f>+EDITABLE!A318</f>
        <v>PROYLABORATO</v>
      </c>
      <c r="C300" s="6">
        <f>+EDITABLE!B318</f>
        <v>1</v>
      </c>
      <c r="D300" s="3" t="str">
        <f>+EDITABLE!D318</f>
        <v>NEGRO</v>
      </c>
      <c r="E300" s="3" t="str">
        <f>+EDITABLE!E318</f>
        <v>EPSON</v>
      </c>
      <c r="F300" s="3" t="str">
        <f>+EDITABLE!F318</f>
        <v>POWER LITE S12+</v>
      </c>
      <c r="G300" s="5" t="str">
        <f>+EDITABLE!G318</f>
        <v>PSPK3401963</v>
      </c>
      <c r="H300" s="3" t="str">
        <f>+EDITABLE!H318</f>
        <v>LABORATORIO COMPUTACIÓN</v>
      </c>
      <c r="I300" s="3" t="str">
        <f>+EDITABLE!I318</f>
        <v>BUENO</v>
      </c>
      <c r="J300" s="3" t="str">
        <f>+EDITABLE!J318</f>
        <v>CON PEDESTAL, CABLE VGA DE 15 m. Y CABLE DE ENERGIA</v>
      </c>
      <c r="K300" s="2">
        <f>+EDITABLE!K318</f>
        <v>400</v>
      </c>
      <c r="L300" s="24">
        <f>+EDITABLE!L318</f>
        <v>45288</v>
      </c>
    </row>
    <row r="301" spans="1:12" x14ac:dyDescent="0.25">
      <c r="A301" s="3" t="str">
        <f>CONCATENATE(+EDITABLE!C319," ",H301)</f>
        <v>PARLANTES LABORATORIO COMPUTACIÓN</v>
      </c>
      <c r="B301" s="3" t="str">
        <f>+EDITABLE!A319</f>
        <v>PARLLABORATO</v>
      </c>
      <c r="C301" s="6">
        <f>+EDITABLE!B319</f>
        <v>1</v>
      </c>
      <c r="D301" s="3" t="str">
        <f>+EDITABLE!D319</f>
        <v>NEGRO</v>
      </c>
      <c r="E301" s="3" t="str">
        <f>+EDITABLE!E319</f>
        <v>KLIP EXTREME</v>
      </c>
      <c r="F301" s="3" t="str">
        <f>+EDITABLE!F319</f>
        <v>KSS-710</v>
      </c>
      <c r="G301" s="5">
        <f>+EDITABLE!G319</f>
        <v>130302753</v>
      </c>
      <c r="H301" s="3" t="str">
        <f>+EDITABLE!H319</f>
        <v>LABORATORIO COMPUTACIÓN</v>
      </c>
      <c r="I301" s="3" t="str">
        <f>+EDITABLE!I319</f>
        <v>BUENO</v>
      </c>
      <c r="J301" s="3" t="str">
        <f>+EDITABLE!J319</f>
        <v>CON SOPORTE AEREO, CABLE DE SONIO DE 20 m. Y CABLE DE ENERGIA</v>
      </c>
      <c r="K301" s="2">
        <f>+EDITABLE!K319</f>
        <v>103</v>
      </c>
      <c r="L301" s="24">
        <f>+EDITABLE!L319</f>
        <v>45288</v>
      </c>
    </row>
    <row r="302" spans="1:12" x14ac:dyDescent="0.25">
      <c r="A302" s="3" t="str">
        <f>CONCATENATE(+EDITABLE!C320," ",H302)</f>
        <v>SENSOR DE ALARMA LABORATORIO COMPUTACIÓN</v>
      </c>
      <c r="B302" s="3" t="str">
        <f>+EDITABLE!A320</f>
        <v>SENSLABORATO</v>
      </c>
      <c r="C302" s="6">
        <f>+EDITABLE!B320</f>
        <v>1</v>
      </c>
      <c r="D302" s="3" t="str">
        <f>+EDITABLE!D320</f>
        <v>BLANCO</v>
      </c>
      <c r="E302" s="3" t="str">
        <f>+EDITABLE!E320</f>
        <v>DSC</v>
      </c>
      <c r="F302" s="3" t="str">
        <f>+EDITABLE!F320</f>
        <v>LC-100PI</v>
      </c>
      <c r="G302" s="5">
        <f>+EDITABLE!G320</f>
        <v>88030080</v>
      </c>
      <c r="H302" s="3" t="str">
        <f>+EDITABLE!H320</f>
        <v>LABORATORIO COMPUTACIÓN</v>
      </c>
      <c r="I302" s="3" t="str">
        <f>+EDITABLE!I320</f>
        <v>BUENO</v>
      </c>
      <c r="J302" s="3" t="str">
        <f>+EDITABLE!J320</f>
        <v>CONECTADA AL SISTEMA DE ALARMAS</v>
      </c>
      <c r="K302" s="2">
        <f>+EDITABLE!K320</f>
        <v>20</v>
      </c>
      <c r="L302" s="24">
        <f>+EDITABLE!L320</f>
        <v>44841</v>
      </c>
    </row>
    <row r="303" spans="1:12" x14ac:dyDescent="0.25">
      <c r="A303" s="3" t="str">
        <f>CONCATENATE(+EDITABLE!C321," ",H303)</f>
        <v>SENSOR DE ALARMA LABORATORIO COMPUTACIÓN</v>
      </c>
      <c r="B303" s="3" t="str">
        <f>+EDITABLE!A321</f>
        <v>SENSLABORATO</v>
      </c>
      <c r="C303" s="6">
        <f>+EDITABLE!B321</f>
        <v>1</v>
      </c>
      <c r="D303" s="3" t="str">
        <f>+EDITABLE!D321</f>
        <v>BLANCO</v>
      </c>
      <c r="E303" s="3" t="str">
        <f>+EDITABLE!E321</f>
        <v>DSC</v>
      </c>
      <c r="F303" s="3" t="str">
        <f>+EDITABLE!F321</f>
        <v>LC-100PI</v>
      </c>
      <c r="G303" s="5">
        <f>+EDITABLE!G321</f>
        <v>88030080</v>
      </c>
      <c r="H303" s="3" t="str">
        <f>+EDITABLE!H321</f>
        <v>LABORATORIO COMPUTACIÓN</v>
      </c>
      <c r="I303" s="3" t="str">
        <f>+EDITABLE!I321</f>
        <v>BUENO</v>
      </c>
      <c r="J303" s="3" t="str">
        <f>+EDITABLE!J321</f>
        <v>CONECTADA AL SISTEMA DE ALARMAS</v>
      </c>
      <c r="K303" s="2">
        <f>+EDITABLE!K321</f>
        <v>20</v>
      </c>
      <c r="L303" s="24">
        <f>+EDITABLE!L321</f>
        <v>44841</v>
      </c>
    </row>
    <row r="304" spans="1:12" x14ac:dyDescent="0.25">
      <c r="A304" s="3" t="str">
        <f>CONCATENATE(+EDITABLE!C322," ",H304)</f>
        <v xml:space="preserve"> 0</v>
      </c>
      <c r="B304" s="3" t="str">
        <f>+EDITABLE!A322</f>
        <v/>
      </c>
      <c r="C304" s="6">
        <f>+EDITABLE!B322</f>
        <v>0</v>
      </c>
      <c r="D304" s="3">
        <f>+EDITABLE!D322</f>
        <v>0</v>
      </c>
      <c r="E304" s="3">
        <f>+EDITABLE!E322</f>
        <v>0</v>
      </c>
      <c r="F304" s="3">
        <f>+EDITABLE!F322</f>
        <v>0</v>
      </c>
      <c r="G304" s="5">
        <f>+EDITABLE!G322</f>
        <v>0</v>
      </c>
      <c r="H304" s="3">
        <f>+EDITABLE!H322</f>
        <v>0</v>
      </c>
      <c r="I304" s="3">
        <f>+EDITABLE!I322</f>
        <v>0</v>
      </c>
      <c r="J304" s="3">
        <f>+EDITABLE!J322</f>
        <v>0</v>
      </c>
      <c r="K304" s="2">
        <f>+EDITABLE!K322</f>
        <v>0</v>
      </c>
      <c r="L304" s="24">
        <f>+EDITABLE!L322</f>
        <v>0</v>
      </c>
    </row>
    <row r="305" spans="1:13" x14ac:dyDescent="0.25">
      <c r="A305" s="3" t="str">
        <f>CONCATENATE(+EDITABLE!C323," ",H305)</f>
        <v xml:space="preserve"> 0</v>
      </c>
      <c r="B305" s="3" t="str">
        <f>+EDITABLE!A323</f>
        <v/>
      </c>
      <c r="C305" s="6">
        <f>+EDITABLE!B323</f>
        <v>0</v>
      </c>
      <c r="D305" s="3">
        <f>+EDITABLE!D323</f>
        <v>0</v>
      </c>
      <c r="E305" s="3">
        <f>+EDITABLE!E323</f>
        <v>0</v>
      </c>
      <c r="F305" s="3">
        <f>+EDITABLE!F323</f>
        <v>0</v>
      </c>
      <c r="G305" s="5">
        <f>+EDITABLE!G323</f>
        <v>0</v>
      </c>
      <c r="H305" s="3">
        <f>+EDITABLE!H323</f>
        <v>0</v>
      </c>
      <c r="I305" s="3">
        <f>+EDITABLE!I323</f>
        <v>0</v>
      </c>
      <c r="J305" s="3">
        <f>+EDITABLE!J323</f>
        <v>0</v>
      </c>
      <c r="K305" s="2">
        <f>+EDITABLE!K323</f>
        <v>0</v>
      </c>
      <c r="L305" s="24">
        <f>+EDITABLE!L323</f>
        <v>0</v>
      </c>
    </row>
    <row r="306" spans="1:13" x14ac:dyDescent="0.25">
      <c r="A306" s="3" t="str">
        <f>CONCATENATE(+EDITABLE!C324," ",H306)</f>
        <v xml:space="preserve"> 0</v>
      </c>
      <c r="B306" s="3" t="str">
        <f>+EDITABLE!A324</f>
        <v/>
      </c>
      <c r="C306" s="6">
        <f>+EDITABLE!B324</f>
        <v>0</v>
      </c>
      <c r="D306" s="3">
        <f>+EDITABLE!D324</f>
        <v>0</v>
      </c>
      <c r="E306" s="3">
        <f>+EDITABLE!E324</f>
        <v>0</v>
      </c>
      <c r="F306" s="3">
        <f>+EDITABLE!F324</f>
        <v>0</v>
      </c>
      <c r="G306" s="5">
        <f>+EDITABLE!G324</f>
        <v>0</v>
      </c>
      <c r="H306" s="3">
        <f>+EDITABLE!H324</f>
        <v>0</v>
      </c>
      <c r="I306" s="3">
        <f>+EDITABLE!I324</f>
        <v>0</v>
      </c>
      <c r="J306" s="3">
        <f>+EDITABLE!J324</f>
        <v>0</v>
      </c>
      <c r="K306" s="2">
        <f>+EDITABLE!K324</f>
        <v>0</v>
      </c>
      <c r="L306" s="24">
        <f>+EDITABLE!L324</f>
        <v>0</v>
      </c>
    </row>
    <row r="307" spans="1:13" x14ac:dyDescent="0.25">
      <c r="A307" s="3" t="str">
        <f>CONCATENATE(+EDITABLE!C326," ",H307)</f>
        <v>LÁMPARA DE EMERGENCIA PATIO</v>
      </c>
      <c r="B307" s="3" t="str">
        <f>+EDITABLE!A326</f>
        <v>LÁMPPATIO</v>
      </c>
      <c r="C307" s="6">
        <f>+EDITABLE!B326</f>
        <v>1</v>
      </c>
      <c r="D307" s="3" t="str">
        <f>+EDITABLE!D326</f>
        <v>BLANCO</v>
      </c>
      <c r="E307" s="3" t="str">
        <f>+EDITABLE!E326</f>
        <v>SIYLVIANA</v>
      </c>
      <c r="F307" s="3" t="str">
        <f>+EDITABLE!F326</f>
        <v>S/M</v>
      </c>
      <c r="G307" s="5" t="str">
        <f>+EDITABLE!G326</f>
        <v>S/S</v>
      </c>
      <c r="H307" s="3" t="str">
        <f>+EDITABLE!H326</f>
        <v>PATIO</v>
      </c>
      <c r="I307" s="3" t="str">
        <f>+EDITABLE!I326</f>
        <v>BUENO</v>
      </c>
      <c r="J307" s="3" t="str">
        <f>+EDITABLE!J326</f>
        <v>LUNINARIA DE EMERGENCIA R-1 MINI, FACIL DE MANTENIMIENTO. -DISEÑO COMPACTO CHASIS TERMOPLÁSTICO RETARDANTE AL FUEGO.  -LUZ LED.</v>
      </c>
      <c r="K307" s="2">
        <f>+EDITABLE!K326</f>
        <v>25</v>
      </c>
      <c r="L307" s="24">
        <f>+EDITABLE!L326</f>
        <v>44292</v>
      </c>
      <c r="M307">
        <v>20</v>
      </c>
    </row>
    <row r="308" spans="1:13" x14ac:dyDescent="0.25">
      <c r="A308" s="3" t="str">
        <f>CONCATENATE(+EDITABLE!C327," ",H308)</f>
        <v>CAMARA VIDEO VIGILANCIA PATIO</v>
      </c>
      <c r="B308" s="3" t="str">
        <f>+EDITABLE!A327</f>
        <v>CAMAPATIO</v>
      </c>
      <c r="C308" s="6">
        <f>+EDITABLE!B327</f>
        <v>1</v>
      </c>
      <c r="D308" s="3" t="str">
        <f>+EDITABLE!D327</f>
        <v>BLANCO</v>
      </c>
      <c r="E308" s="3" t="str">
        <f>+EDITABLE!E327</f>
        <v>SMARTLIFE</v>
      </c>
      <c r="F308" s="3" t="str">
        <f>+EDITABLE!F327</f>
        <v>S/M</v>
      </c>
      <c r="G308" s="5" t="str">
        <f>+EDITABLE!G327</f>
        <v>S/S</v>
      </c>
      <c r="H308" s="3" t="str">
        <f>+EDITABLE!H327</f>
        <v>PATIO</v>
      </c>
      <c r="I308" s="3" t="str">
        <f>+EDITABLE!I327</f>
        <v>BUENO</v>
      </c>
      <c r="J308" s="3" t="str">
        <f>+EDITABLE!J327</f>
        <v>VISION EN MOVIL GIRATORIA</v>
      </c>
      <c r="K308" s="2">
        <f>+EDITABLE!K327</f>
        <v>25</v>
      </c>
      <c r="L308" s="24">
        <f>+EDITABLE!L327</f>
        <v>44841</v>
      </c>
    </row>
    <row r="309" spans="1:13" x14ac:dyDescent="0.25">
      <c r="A309" s="3" t="str">
        <f>CONCATENATE(+EDITABLE!C328," ",H309)</f>
        <v>CAMARA VIDEO VIGILANCIA PATIO</v>
      </c>
      <c r="B309" s="3" t="str">
        <f>+EDITABLE!A328</f>
        <v>CAMAPATIO</v>
      </c>
      <c r="C309" s="6">
        <f>+EDITABLE!B328</f>
        <v>1</v>
      </c>
      <c r="D309" s="3" t="str">
        <f>+EDITABLE!D328</f>
        <v>BLANCO</v>
      </c>
      <c r="E309" s="3" t="str">
        <f>+EDITABLE!E328</f>
        <v>HILOOK</v>
      </c>
      <c r="F309" s="3" t="str">
        <f>+EDITABLE!F328</f>
        <v>S/M</v>
      </c>
      <c r="G309" s="5" t="str">
        <f>+EDITABLE!G328</f>
        <v>S/S</v>
      </c>
      <c r="H309" s="3" t="str">
        <f>+EDITABLE!H328</f>
        <v>PATIO</v>
      </c>
      <c r="I309" s="3" t="str">
        <f>+EDITABLE!I328</f>
        <v>BUENO</v>
      </c>
      <c r="J309" s="3" t="str">
        <f>+EDITABLE!J328</f>
        <v>CONECTADA AL DVR Y VISION EN MOVIL Y CUARTO DE RED</v>
      </c>
      <c r="K309" s="2">
        <f>+EDITABLE!K328</f>
        <v>25</v>
      </c>
      <c r="L309" s="24">
        <f>+EDITABLE!L328</f>
        <v>44841</v>
      </c>
    </row>
    <row r="310" spans="1:13" x14ac:dyDescent="0.25">
      <c r="A310" s="3" t="str">
        <f>CONCATENATE(+EDITABLE!C329," ",H310)</f>
        <v>CAMARA VIDEO VIGILANCIA PATIO</v>
      </c>
      <c r="B310" s="3" t="str">
        <f>+EDITABLE!A329</f>
        <v>CAMAPATIO</v>
      </c>
      <c r="C310" s="6">
        <f>+EDITABLE!B329</f>
        <v>1</v>
      </c>
      <c r="D310" s="3" t="str">
        <f>+EDITABLE!D329</f>
        <v>BLANCO</v>
      </c>
      <c r="E310" s="3" t="str">
        <f>+EDITABLE!E329</f>
        <v>HIKVISION</v>
      </c>
      <c r="F310" s="3" t="str">
        <f>+EDITABLE!F329</f>
        <v>S/M</v>
      </c>
      <c r="G310" s="5" t="str">
        <f>+EDITABLE!G329</f>
        <v>S/S</v>
      </c>
      <c r="H310" s="3" t="str">
        <f>+EDITABLE!H329</f>
        <v>PATIO</v>
      </c>
      <c r="I310" s="3" t="str">
        <f>+EDITABLE!I329</f>
        <v>BUENO</v>
      </c>
      <c r="J310" s="3" t="str">
        <f>+EDITABLE!J329</f>
        <v>CONECTADA AL DVR Y VISION EN MOVIL Y CUARTO DE RED</v>
      </c>
      <c r="K310" s="2">
        <f>+EDITABLE!K329</f>
        <v>25</v>
      </c>
      <c r="L310" s="24">
        <f>+EDITABLE!L329</f>
        <v>44841</v>
      </c>
    </row>
    <row r="311" spans="1:13" x14ac:dyDescent="0.25">
      <c r="A311" s="3" t="str">
        <f>CONCATENATE(+EDITABLE!C330," ",H311)</f>
        <v>CAMARA VIDEO VIGILANCIA PATIO</v>
      </c>
      <c r="B311" s="3" t="str">
        <f>+EDITABLE!A330</f>
        <v>CAMAPATIO</v>
      </c>
      <c r="C311" s="6">
        <f>+EDITABLE!B330</f>
        <v>1</v>
      </c>
      <c r="D311" s="3" t="str">
        <f>+EDITABLE!D330</f>
        <v>BLANCO</v>
      </c>
      <c r="E311" s="3" t="str">
        <f>+EDITABLE!E330</f>
        <v>HIKVISION</v>
      </c>
      <c r="F311" s="3" t="str">
        <f>+EDITABLE!F330</f>
        <v>S/M</v>
      </c>
      <c r="G311" s="5" t="str">
        <f>+EDITABLE!G330</f>
        <v>S/S</v>
      </c>
      <c r="H311" s="3" t="str">
        <f>+EDITABLE!H330</f>
        <v>PATIO</v>
      </c>
      <c r="I311" s="3" t="str">
        <f>+EDITABLE!I330</f>
        <v>BUENO</v>
      </c>
      <c r="J311" s="3" t="str">
        <f>+EDITABLE!J330</f>
        <v>CONECTADA AL DVR Y VISION EN MOVIL Y CUARTO DE RED</v>
      </c>
      <c r="K311" s="2">
        <f>+EDITABLE!K330</f>
        <v>25</v>
      </c>
      <c r="L311" s="24">
        <f>+EDITABLE!L330</f>
        <v>44841</v>
      </c>
    </row>
    <row r="312" spans="1:13" x14ac:dyDescent="0.25">
      <c r="A312" s="3" t="str">
        <f>CONCATENATE(+EDITABLE!C331," ",H312)</f>
        <v>LÁMPARA DE EMERGENCIA PATIO</v>
      </c>
      <c r="B312" s="3" t="str">
        <f>+EDITABLE!A331</f>
        <v>LÁMPPATIO</v>
      </c>
      <c r="C312" s="6">
        <f>+EDITABLE!B331</f>
        <v>1</v>
      </c>
      <c r="D312" s="3" t="str">
        <f>+EDITABLE!D331</f>
        <v>BLANCO</v>
      </c>
      <c r="E312" s="3" t="str">
        <f>+EDITABLE!E331</f>
        <v>SIYLVIANA</v>
      </c>
      <c r="F312" s="3" t="str">
        <f>+EDITABLE!F331</f>
        <v>S/M</v>
      </c>
      <c r="G312" s="5" t="str">
        <f>+EDITABLE!G331</f>
        <v>S/S</v>
      </c>
      <c r="H312" s="3" t="str">
        <f>+EDITABLE!H331</f>
        <v>PATIO</v>
      </c>
      <c r="I312" s="3" t="str">
        <f>+EDITABLE!I331</f>
        <v>BUENO</v>
      </c>
      <c r="J312" s="3" t="str">
        <f>+EDITABLE!J331</f>
        <v>LUNINARIA DE EMERGENCIA R-1 MINI, FACIL DE MANTENIMIENTO. -DISEÑO COMPACTO CHASIS TERMOPLÁSTICO RETARDANTE AL FUEGO.  -LUZ LED.</v>
      </c>
      <c r="K312" s="2">
        <f>+EDITABLE!K331</f>
        <v>25</v>
      </c>
      <c r="L312" s="24">
        <f>+EDITABLE!L331</f>
        <v>44292</v>
      </c>
    </row>
    <row r="313" spans="1:13" x14ac:dyDescent="0.25">
      <c r="A313" s="3" t="str">
        <f>CONCATENATE(+EDITABLE!C332," ",H313)</f>
        <v>CAMARA VIDEO VIGILANCIA PATIO</v>
      </c>
      <c r="B313" s="3" t="str">
        <f>+EDITABLE!A332</f>
        <v>CAMAPATIO</v>
      </c>
      <c r="C313" s="6">
        <f>+EDITABLE!B332</f>
        <v>1</v>
      </c>
      <c r="D313" s="3" t="str">
        <f>+EDITABLE!D332</f>
        <v>BLANCO</v>
      </c>
      <c r="E313" s="3" t="str">
        <f>+EDITABLE!E332</f>
        <v>HILOOK</v>
      </c>
      <c r="F313" s="3" t="str">
        <f>+EDITABLE!F332</f>
        <v>S/M</v>
      </c>
      <c r="G313" s="5" t="str">
        <f>+EDITABLE!G332</f>
        <v>S/S</v>
      </c>
      <c r="H313" s="3" t="str">
        <f>+EDITABLE!H332</f>
        <v>PATIO</v>
      </c>
      <c r="I313" s="3" t="str">
        <f>+EDITABLE!I332</f>
        <v>BUENO</v>
      </c>
      <c r="J313" s="3" t="str">
        <f>+EDITABLE!J332</f>
        <v>CONECTADA AL DVR Y VISION EN MOVIL Y CUARTO DE RED</v>
      </c>
      <c r="K313" s="2">
        <f>+EDITABLE!K332</f>
        <v>25</v>
      </c>
      <c r="L313" s="24">
        <f>+EDITABLE!L332</f>
        <v>44841</v>
      </c>
    </row>
    <row r="314" spans="1:13" x14ac:dyDescent="0.25">
      <c r="A314" s="3" t="str">
        <f>CONCATENATE(+EDITABLE!C333," ",H314)</f>
        <v xml:space="preserve"> 0</v>
      </c>
      <c r="B314" s="3" t="str">
        <f>+EDITABLE!A333</f>
        <v/>
      </c>
      <c r="C314" s="6">
        <f>+EDITABLE!B333</f>
        <v>0</v>
      </c>
      <c r="D314" s="3">
        <f>+EDITABLE!D333</f>
        <v>0</v>
      </c>
      <c r="E314" s="3">
        <f>+EDITABLE!E333</f>
        <v>0</v>
      </c>
      <c r="F314" s="3">
        <f>+EDITABLE!F333</f>
        <v>0</v>
      </c>
      <c r="G314" s="5">
        <f>+EDITABLE!G333</f>
        <v>0</v>
      </c>
      <c r="H314" s="3">
        <f>+EDITABLE!H333</f>
        <v>0</v>
      </c>
      <c r="I314" s="3">
        <f>+EDITABLE!I333</f>
        <v>0</v>
      </c>
      <c r="J314" s="3">
        <f>+EDITABLE!J333</f>
        <v>0</v>
      </c>
      <c r="K314" s="2">
        <f>+EDITABLE!K333</f>
        <v>0</v>
      </c>
      <c r="L314" s="24">
        <f>+EDITABLE!L333</f>
        <v>0</v>
      </c>
    </row>
    <row r="315" spans="1:13" x14ac:dyDescent="0.25">
      <c r="A315" s="3" t="str">
        <f>CONCATENATE(+EDITABLE!C334," ",H315)</f>
        <v xml:space="preserve"> 0</v>
      </c>
      <c r="B315" s="3" t="str">
        <f>+EDITABLE!A334</f>
        <v/>
      </c>
      <c r="C315" s="6">
        <f>+EDITABLE!B334</f>
        <v>0</v>
      </c>
      <c r="D315" s="3">
        <f>+EDITABLE!D334</f>
        <v>0</v>
      </c>
      <c r="E315" s="3">
        <f>+EDITABLE!E334</f>
        <v>0</v>
      </c>
      <c r="F315" s="3">
        <f>+EDITABLE!F334</f>
        <v>0</v>
      </c>
      <c r="G315" s="5">
        <f>+EDITABLE!G334</f>
        <v>0</v>
      </c>
      <c r="H315" s="3">
        <f>+EDITABLE!H334</f>
        <v>0</v>
      </c>
      <c r="I315" s="3">
        <f>+EDITABLE!I334</f>
        <v>0</v>
      </c>
      <c r="J315" s="3">
        <f>+EDITABLE!J334</f>
        <v>0</v>
      </c>
      <c r="K315" s="2">
        <f>+EDITABLE!K334</f>
        <v>0</v>
      </c>
      <c r="L315" s="24">
        <f>+EDITABLE!L334</f>
        <v>0</v>
      </c>
    </row>
    <row r="316" spans="1:13" x14ac:dyDescent="0.25">
      <c r="A316" s="3" t="str">
        <f>CONCATENATE(+EDITABLE!C335," ",H316)</f>
        <v xml:space="preserve"> 0</v>
      </c>
      <c r="B316" s="3" t="str">
        <f>+EDITABLE!A335</f>
        <v/>
      </c>
      <c r="C316" s="6">
        <f>+EDITABLE!B335</f>
        <v>0</v>
      </c>
      <c r="D316" s="3">
        <f>+EDITABLE!D335</f>
        <v>0</v>
      </c>
      <c r="E316" s="3">
        <f>+EDITABLE!E335</f>
        <v>0</v>
      </c>
      <c r="F316" s="3">
        <f>+EDITABLE!F335</f>
        <v>0</v>
      </c>
      <c r="G316" s="5">
        <f>+EDITABLE!G335</f>
        <v>0</v>
      </c>
      <c r="H316" s="3">
        <f>+EDITABLE!H335</f>
        <v>0</v>
      </c>
      <c r="I316" s="3">
        <f>+EDITABLE!I335</f>
        <v>0</v>
      </c>
      <c r="J316" s="3">
        <f>+EDITABLE!J335</f>
        <v>0</v>
      </c>
      <c r="K316" s="2">
        <f>+EDITABLE!K335</f>
        <v>0</v>
      </c>
      <c r="L316" s="24">
        <f>+EDITABLE!L335</f>
        <v>0</v>
      </c>
    </row>
    <row r="317" spans="1:13" x14ac:dyDescent="0.25">
      <c r="A317" s="3" t="str">
        <f>CONCATENATE(+EDITABLE!C337," ",H317)</f>
        <v>CAMARA VIDEO VIGILANCIA CALLE PRINCIPAL</v>
      </c>
      <c r="B317" s="3" t="str">
        <f>+EDITABLE!A337</f>
        <v>CAMACALLE PR</v>
      </c>
      <c r="C317" s="6">
        <f>+EDITABLE!B337</f>
        <v>1</v>
      </c>
      <c r="D317" s="3" t="str">
        <f>+EDITABLE!D337</f>
        <v>BLANCO</v>
      </c>
      <c r="E317" s="3" t="str">
        <f>+EDITABLE!E337</f>
        <v>HIKVISION</v>
      </c>
      <c r="F317" s="3" t="str">
        <f>+EDITABLE!F337</f>
        <v>S/M</v>
      </c>
      <c r="G317" s="5" t="str">
        <f>+EDITABLE!G337</f>
        <v>S/S</v>
      </c>
      <c r="H317" s="3" t="str">
        <f>+EDITABLE!H337</f>
        <v>CALLE PRINCIPAL</v>
      </c>
      <c r="I317" s="3" t="str">
        <f>+EDITABLE!I337</f>
        <v>BUENO</v>
      </c>
      <c r="J317" s="3" t="str">
        <f>+EDITABLE!J337</f>
        <v>CONECTADA AL DVR Y VISION EN MOVIL Y CUARTO DE RED</v>
      </c>
      <c r="K317" s="2">
        <f>+EDITABLE!K337</f>
        <v>25</v>
      </c>
      <c r="L317" s="24">
        <f>+EDITABLE!L337</f>
        <v>44841</v>
      </c>
      <c r="M317">
        <v>21</v>
      </c>
    </row>
    <row r="318" spans="1:13" x14ac:dyDescent="0.25">
      <c r="A318" s="3" t="str">
        <f>CONCATENATE(+EDITABLE!C338," ",H318)</f>
        <v xml:space="preserve"> 0</v>
      </c>
      <c r="B318" s="3">
        <f>+EDITABLE!A338</f>
        <v>0</v>
      </c>
      <c r="C318" s="6">
        <f>+EDITABLE!B338</f>
        <v>0</v>
      </c>
      <c r="D318" s="3">
        <f>+EDITABLE!D338</f>
        <v>0</v>
      </c>
      <c r="E318" s="3">
        <f>+EDITABLE!E338</f>
        <v>0</v>
      </c>
      <c r="F318" s="3">
        <f>+EDITABLE!F338</f>
        <v>0</v>
      </c>
      <c r="G318" s="5">
        <f>+EDITABLE!G338</f>
        <v>0</v>
      </c>
      <c r="H318" s="3">
        <f>+EDITABLE!H338</f>
        <v>0</v>
      </c>
      <c r="I318" s="3">
        <f>+EDITABLE!I338</f>
        <v>0</v>
      </c>
      <c r="J318" s="3">
        <f>+EDITABLE!J338</f>
        <v>0</v>
      </c>
      <c r="K318" s="2">
        <f>+EDITABLE!K338</f>
        <v>0</v>
      </c>
      <c r="L318" s="24">
        <f>+EDITABLE!L338</f>
        <v>0</v>
      </c>
    </row>
    <row r="319" spans="1:13" x14ac:dyDescent="0.25">
      <c r="A319" s="3" t="str">
        <f>CONCATENATE(+EDITABLE!C339," ",H319)</f>
        <v xml:space="preserve"> 0</v>
      </c>
      <c r="B319" s="3" t="str">
        <f>+EDITABLE!A339</f>
        <v/>
      </c>
      <c r="C319" s="6">
        <f>+EDITABLE!B339</f>
        <v>0</v>
      </c>
      <c r="D319" s="3">
        <f>+EDITABLE!D339</f>
        <v>0</v>
      </c>
      <c r="E319" s="3">
        <f>+EDITABLE!E339</f>
        <v>0</v>
      </c>
      <c r="F319" s="3">
        <f>+EDITABLE!F339</f>
        <v>0</v>
      </c>
      <c r="G319" s="5">
        <f>+EDITABLE!G339</f>
        <v>0</v>
      </c>
      <c r="H319" s="3">
        <f>+EDITABLE!H339</f>
        <v>0</v>
      </c>
      <c r="I319" s="3">
        <f>+EDITABLE!I339</f>
        <v>0</v>
      </c>
      <c r="J319" s="3">
        <f>+EDITABLE!J339</f>
        <v>0</v>
      </c>
      <c r="K319" s="2">
        <f>+EDITABLE!K339</f>
        <v>0</v>
      </c>
      <c r="L319" s="24">
        <f>+EDITABLE!L339</f>
        <v>0</v>
      </c>
    </row>
    <row r="320" spans="1:13" x14ac:dyDescent="0.25">
      <c r="A320" s="3" t="str">
        <f>CONCATENATE(+EDITABLE!C340," ",H320)</f>
        <v xml:space="preserve"> 0</v>
      </c>
      <c r="B320" s="3" t="str">
        <f>+EDITABLE!A340</f>
        <v/>
      </c>
      <c r="C320" s="6">
        <f>+EDITABLE!B340</f>
        <v>0</v>
      </c>
      <c r="D320" s="3">
        <f>+EDITABLE!D340</f>
        <v>0</v>
      </c>
      <c r="E320" s="3">
        <f>+EDITABLE!E340</f>
        <v>0</v>
      </c>
      <c r="F320" s="3">
        <f>+EDITABLE!F340</f>
        <v>0</v>
      </c>
      <c r="G320" s="5">
        <f>+EDITABLE!G340</f>
        <v>0</v>
      </c>
      <c r="H320" s="3">
        <f>+EDITABLE!H340</f>
        <v>0</v>
      </c>
      <c r="I320" s="3">
        <f>+EDITABLE!I340</f>
        <v>0</v>
      </c>
      <c r="J320" s="3">
        <f>+EDITABLE!J340</f>
        <v>0</v>
      </c>
      <c r="K320" s="2">
        <f>+EDITABLE!K340</f>
        <v>0</v>
      </c>
      <c r="L320" s="24">
        <f>+EDITABLE!L340</f>
        <v>0</v>
      </c>
    </row>
    <row r="321" spans="1:13" x14ac:dyDescent="0.25">
      <c r="A321" s="3" t="str">
        <f>CONCATENATE(+EDITABLE!C341," ",H321)</f>
        <v xml:space="preserve"> 0</v>
      </c>
      <c r="B321" s="3" t="str">
        <f>+EDITABLE!A341</f>
        <v/>
      </c>
      <c r="C321" s="6">
        <f>+EDITABLE!B341</f>
        <v>0</v>
      </c>
      <c r="D321" s="3">
        <f>+EDITABLE!D341</f>
        <v>0</v>
      </c>
      <c r="E321" s="3">
        <f>+EDITABLE!E341</f>
        <v>0</v>
      </c>
      <c r="F321" s="3">
        <f>+EDITABLE!F341</f>
        <v>0</v>
      </c>
      <c r="G321" s="5">
        <f>+EDITABLE!G341</f>
        <v>0</v>
      </c>
      <c r="H321" s="3">
        <f>+EDITABLE!H341</f>
        <v>0</v>
      </c>
      <c r="I321" s="3">
        <f>+EDITABLE!I341</f>
        <v>0</v>
      </c>
      <c r="J321" s="3">
        <f>+EDITABLE!J341</f>
        <v>0</v>
      </c>
      <c r="K321" s="2">
        <f>+EDITABLE!K341</f>
        <v>0</v>
      </c>
      <c r="L321" s="24">
        <f>+EDITABLE!L341</f>
        <v>0</v>
      </c>
    </row>
    <row r="322" spans="1:13" x14ac:dyDescent="0.25">
      <c r="A322" s="3" t="str">
        <f>CONCATENATE(+EDITABLE!C343," ",H322)</f>
        <v>CPU FISCALIZACIÓN</v>
      </c>
      <c r="B322" s="3" t="str">
        <f>+EDITABLE!A343</f>
        <v>CPUFISCALIZ</v>
      </c>
      <c r="C322" s="6">
        <f>+EDITABLE!B343</f>
        <v>1</v>
      </c>
      <c r="D322" s="3" t="str">
        <f>+EDITABLE!D343</f>
        <v>NEBGRO/AZUL</v>
      </c>
      <c r="E322" s="3" t="str">
        <f>+EDITABLE!E343</f>
        <v>ARES</v>
      </c>
      <c r="F322" s="3" t="str">
        <f>+EDITABLE!F343</f>
        <v>GENERICO</v>
      </c>
      <c r="G322" s="5" t="str">
        <f>+EDITABLE!G343</f>
        <v>S/S</v>
      </c>
      <c r="H322" s="3" t="str">
        <f>+EDITABLE!H343</f>
        <v>FISCALIZACIÓN</v>
      </c>
      <c r="I322" s="3" t="str">
        <f>+EDITABLE!I343</f>
        <v>BUENO</v>
      </c>
      <c r="J322" s="3" t="str">
        <f>+EDITABLE!J343</f>
        <v>WINDOWS 8.1 INTERPRISE, PROCESADOR: INTEL ® R CORE TM i5-3330 CPU, 3.00 GHZ, RAM 4 GB, 64 BITS, INTERNET ALÁMBRICO</v>
      </c>
      <c r="K322" s="2">
        <f>+EDITABLE!K343</f>
        <v>250</v>
      </c>
      <c r="L322" s="24">
        <f>+EDITABLE!L343</f>
        <v>45288</v>
      </c>
      <c r="M322">
        <v>22</v>
      </c>
    </row>
    <row r="323" spans="1:13" x14ac:dyDescent="0.25">
      <c r="A323" s="3" t="str">
        <f>CONCATENATE(+EDITABLE!C344," ",H323)</f>
        <v>MONITOR FISCALIZACIÓN</v>
      </c>
      <c r="B323" s="3" t="str">
        <f>+EDITABLE!A344</f>
        <v>MONIFISCALIZ</v>
      </c>
      <c r="C323" s="6">
        <f>+EDITABLE!B344</f>
        <v>1</v>
      </c>
      <c r="D323" s="3" t="str">
        <f>+EDITABLE!D344</f>
        <v>NEGRO</v>
      </c>
      <c r="E323" s="3" t="str">
        <f>+EDITABLE!E344</f>
        <v>HP</v>
      </c>
      <c r="F323" s="3" t="str">
        <f>+EDITABLE!F344</f>
        <v>LV1911</v>
      </c>
      <c r="G323" s="5" t="str">
        <f>+EDITABLE!G344</f>
        <v>6CM213015N</v>
      </c>
      <c r="H323" s="3" t="str">
        <f>+EDITABLE!H344</f>
        <v>FISCALIZACIÓN</v>
      </c>
      <c r="I323" s="3" t="str">
        <f>+EDITABLE!I344</f>
        <v>BUENO</v>
      </c>
      <c r="J323" s="3" t="str">
        <f>+EDITABLE!J344</f>
        <v>DE 19", CONECCIÓN VGA CON CLABELDE ENERGIA Y DATOS</v>
      </c>
      <c r="K323" s="2">
        <f>+EDITABLE!K344</f>
        <v>100</v>
      </c>
      <c r="L323" s="24">
        <f>+EDITABLE!L344</f>
        <v>45288</v>
      </c>
    </row>
    <row r="324" spans="1:13" x14ac:dyDescent="0.25">
      <c r="A324" s="3" t="str">
        <f>CONCATENATE(+EDITABLE!C345," ",H324)</f>
        <v>MOUSE FISCALIZACIÓN</v>
      </c>
      <c r="B324" s="3" t="str">
        <f>+EDITABLE!A345</f>
        <v>MOUSFISCALIZ</v>
      </c>
      <c r="C324" s="6">
        <f>+EDITABLE!B345</f>
        <v>1</v>
      </c>
      <c r="D324" s="3" t="str">
        <f>+EDITABLE!D345</f>
        <v>NEGRO/CROMADO</v>
      </c>
      <c r="E324" s="3" t="str">
        <f>+EDITABLE!E345</f>
        <v>ARES</v>
      </c>
      <c r="F324" s="3" t="str">
        <f>+EDITABLE!F345</f>
        <v>HB-M098</v>
      </c>
      <c r="G324" s="5" t="str">
        <f>+EDITABLE!G345</f>
        <v>S/S</v>
      </c>
      <c r="H324" s="3" t="str">
        <f>+EDITABLE!H345</f>
        <v>FISCALIZACIÓN</v>
      </c>
      <c r="I324" s="3" t="str">
        <f>+EDITABLE!I345</f>
        <v>BUENO</v>
      </c>
      <c r="J324" s="3" t="str">
        <f>+EDITABLE!J345</f>
        <v>ALAMBRICO, LUZ LED, DISEÑO ERGOÓMICO</v>
      </c>
      <c r="K324" s="2">
        <f>+EDITABLE!K345</f>
        <v>6</v>
      </c>
      <c r="L324" s="24">
        <f>+EDITABLE!L345</f>
        <v>45288</v>
      </c>
    </row>
    <row r="325" spans="1:13" x14ac:dyDescent="0.25">
      <c r="A325" s="3" t="str">
        <f>CONCATENATE(+EDITABLE!C346," ",H325)</f>
        <v>TECLADO FISCALIZACIÓN</v>
      </c>
      <c r="B325" s="3" t="str">
        <f>+EDITABLE!A346</f>
        <v>TECLFISCALIZ</v>
      </c>
      <c r="C325" s="6">
        <f>+EDITABLE!B346</f>
        <v>1</v>
      </c>
      <c r="D325" s="3" t="str">
        <f>+EDITABLE!D346</f>
        <v>NEGROCROMADO</v>
      </c>
      <c r="E325" s="3" t="str">
        <f>+EDITABLE!E346</f>
        <v>ARES</v>
      </c>
      <c r="F325" s="3" t="str">
        <f>+EDITABLE!F346</f>
        <v>HB-548D</v>
      </c>
      <c r="G325" s="5" t="str">
        <f>+EDITABLE!G346</f>
        <v>S/S</v>
      </c>
      <c r="H325" s="3" t="str">
        <f>+EDITABLE!H346</f>
        <v>FISCALIZACIÓN</v>
      </c>
      <c r="I325" s="3" t="str">
        <f>+EDITABLE!I346</f>
        <v>BUENO</v>
      </c>
      <c r="J325" s="3" t="str">
        <f>+EDITABLE!J346</f>
        <v>ALAMBRICO, HERGONÓMICO, VARIOS USOS, CONECTOR USB</v>
      </c>
      <c r="K325" s="2">
        <f>+EDITABLE!K346</f>
        <v>17</v>
      </c>
      <c r="L325" s="24">
        <f>+EDITABLE!L346</f>
        <v>45288</v>
      </c>
    </row>
    <row r="326" spans="1:13" x14ac:dyDescent="0.25">
      <c r="A326" s="3" t="str">
        <f>CONCATENATE(+EDITABLE!C347," ",H326)</f>
        <v>IMPRESORA FISCALIZACIÓN</v>
      </c>
      <c r="B326" s="3" t="str">
        <f>+EDITABLE!A347</f>
        <v>IMPRFISCALIZ</v>
      </c>
      <c r="C326" s="6">
        <f>+EDITABLE!B347</f>
        <v>1</v>
      </c>
      <c r="D326" s="3" t="str">
        <f>+EDITABLE!D347</f>
        <v>NEGRO</v>
      </c>
      <c r="E326" s="3" t="str">
        <f>+EDITABLE!E347</f>
        <v>EPSON</v>
      </c>
      <c r="F326" s="3" t="str">
        <f>+EDITABLE!F347</f>
        <v>L3150</v>
      </c>
      <c r="G326" s="5" t="str">
        <f>+EDITABLE!G347</f>
        <v>X5E8213733</v>
      </c>
      <c r="H326" s="3" t="str">
        <f>+EDITABLE!H347</f>
        <v>FISCALIZACIÓN</v>
      </c>
      <c r="I326" s="3" t="str">
        <f>+EDITABLE!I347</f>
        <v>BUENO</v>
      </c>
      <c r="J326" s="3" t="str">
        <f>+EDITABLE!J347</f>
        <v>CON TINTA CONTINUA A COLORES CABLE DE DATOS Y CABLE DE ENERGIA</v>
      </c>
      <c r="K326" s="2">
        <f>+EDITABLE!K347</f>
        <v>185</v>
      </c>
      <c r="L326" s="24">
        <f>+EDITABLE!L347</f>
        <v>44375</v>
      </c>
    </row>
    <row r="327" spans="1:13" x14ac:dyDescent="0.25">
      <c r="A327" s="3" t="str">
        <f>CONCATENATE(+EDITABLE!C348," ",H327)</f>
        <v>CPU FISCALIZACIÓN</v>
      </c>
      <c r="B327" s="3" t="str">
        <f>+EDITABLE!A348</f>
        <v>CPUFISCALIZ</v>
      </c>
      <c r="C327" s="6">
        <f>+EDITABLE!B348</f>
        <v>1</v>
      </c>
      <c r="D327" s="3" t="str">
        <f>+EDITABLE!D348</f>
        <v>NEGRO</v>
      </c>
      <c r="E327" s="3" t="str">
        <f>+EDITABLE!E348</f>
        <v>INS</v>
      </c>
      <c r="F327" s="3" t="str">
        <f>+EDITABLE!F348</f>
        <v>S/M</v>
      </c>
      <c r="G327" s="5">
        <f>+EDITABLE!G348</f>
        <v>8225062019</v>
      </c>
      <c r="H327" s="3" t="str">
        <f>+EDITABLE!H348</f>
        <v>FISCALIZACIÓN</v>
      </c>
      <c r="I327" s="3" t="str">
        <f>+EDITABLE!I348</f>
        <v>BUENO</v>
      </c>
      <c r="J327" s="3" t="str">
        <f>+EDITABLE!J348</f>
        <v>WINDOWS 8.1 INTERPRISE, PROCESADOR: INTEL ® R CORE TM i3-9100F CPU, 3.60 GHZ, RAM 4 GB, 64 BITS, INTERNET ALÁMBRICO</v>
      </c>
      <c r="K327" s="2">
        <f>+EDITABLE!K348</f>
        <v>250</v>
      </c>
      <c r="L327" s="24">
        <f>+EDITABLE!L348</f>
        <v>45288</v>
      </c>
    </row>
    <row r="328" spans="1:13" x14ac:dyDescent="0.25">
      <c r="A328" s="3" t="str">
        <f>CONCATENATE(+EDITABLE!C349," ",H328)</f>
        <v>MONITOR FISCALIZACIÓN</v>
      </c>
      <c r="B328" s="3" t="str">
        <f>+EDITABLE!A349</f>
        <v>MONIFISCALIZ</v>
      </c>
      <c r="C328" s="6">
        <f>+EDITABLE!B349</f>
        <v>1</v>
      </c>
      <c r="D328" s="3" t="str">
        <f>+EDITABLE!D349</f>
        <v>NEGRO</v>
      </c>
      <c r="E328" s="3" t="str">
        <f>+EDITABLE!E349</f>
        <v>LG</v>
      </c>
      <c r="F328" s="3" t="str">
        <f>+EDITABLE!F349</f>
        <v>20MK400H-B</v>
      </c>
      <c r="G328" s="5" t="str">
        <f>+EDITABLE!G349</f>
        <v>911NTJJ1T164</v>
      </c>
      <c r="H328" s="3" t="str">
        <f>+EDITABLE!H349</f>
        <v>FISCALIZACIÓN</v>
      </c>
      <c r="I328" s="3" t="str">
        <f>+EDITABLE!I349</f>
        <v>BUENO</v>
      </c>
      <c r="J328" s="3" t="str">
        <f>+EDITABLE!J349</f>
        <v>DE 19", CONECCIÓN VGA CON CLABELDE ENERGIA Y DATOS</v>
      </c>
      <c r="K328" s="2">
        <f>+EDITABLE!K349</f>
        <v>60</v>
      </c>
      <c r="L328" s="24">
        <f>+EDITABLE!L349</f>
        <v>45288</v>
      </c>
    </row>
    <row r="329" spans="1:13" x14ac:dyDescent="0.25">
      <c r="A329" s="3" t="str">
        <f>CONCATENATE(+EDITABLE!C350," ",H329)</f>
        <v>MOUSE FISCALIZACIÓN</v>
      </c>
      <c r="B329" s="3" t="str">
        <f>+EDITABLE!A350</f>
        <v>MOUSFISCALIZ</v>
      </c>
      <c r="C329" s="6">
        <f>+EDITABLE!B350</f>
        <v>1</v>
      </c>
      <c r="D329" s="3" t="str">
        <f>+EDITABLE!D350</f>
        <v>NEGRO - GRIS</v>
      </c>
      <c r="E329" s="3" t="str">
        <f>+EDITABLE!E350</f>
        <v>INS</v>
      </c>
      <c r="F329" s="3" t="str">
        <f>+EDITABLE!F350</f>
        <v>S/M</v>
      </c>
      <c r="G329" s="5" t="str">
        <f>+EDITABLE!G350</f>
        <v>S/S</v>
      </c>
      <c r="H329" s="3" t="str">
        <f>+EDITABLE!H350</f>
        <v>FISCALIZACIÓN</v>
      </c>
      <c r="I329" s="3" t="str">
        <f>+EDITABLE!I350</f>
        <v>BUENO</v>
      </c>
      <c r="J329" s="3" t="str">
        <f>+EDITABLE!J350</f>
        <v>ALAMBRICO, LED, OPTICO</v>
      </c>
      <c r="K329" s="2">
        <f>+EDITABLE!K350</f>
        <v>5</v>
      </c>
      <c r="L329" s="24">
        <f>+EDITABLE!L350</f>
        <v>45288</v>
      </c>
    </row>
    <row r="330" spans="1:13" x14ac:dyDescent="0.25">
      <c r="A330" s="3" t="str">
        <f>CONCATENATE(+EDITABLE!C351," ",H330)</f>
        <v>REGULADOR DE VOLTAJE FISCALIZACIÓN</v>
      </c>
      <c r="B330" s="3" t="str">
        <f>+EDITABLE!A351</f>
        <v>REGUFISCALIZ</v>
      </c>
      <c r="C330" s="6">
        <f>+EDITABLE!B351</f>
        <v>1</v>
      </c>
      <c r="D330" s="3" t="str">
        <f>+EDITABLE!D351</f>
        <v>NEGRO</v>
      </c>
      <c r="E330" s="3" t="str">
        <f>+EDITABLE!E351</f>
        <v>ALTEK</v>
      </c>
      <c r="F330" s="3" t="str">
        <f>+EDITABLE!F351</f>
        <v>ABR1600SN</v>
      </c>
      <c r="G330" s="5">
        <f>+EDITABLE!G351</f>
        <v>130414499</v>
      </c>
      <c r="H330" s="3" t="str">
        <f>+EDITABLE!H351</f>
        <v>FISCALIZACIÓN</v>
      </c>
      <c r="I330" s="3" t="str">
        <f>+EDITABLE!I351</f>
        <v>BUENO</v>
      </c>
      <c r="J330" s="3" t="str">
        <f>+EDITABLE!J351</f>
        <v>CON 8 TOMAS Y 2 TOMAS RJ 11 DE TELÉFONO, 200v</v>
      </c>
      <c r="K330" s="2">
        <f>+EDITABLE!K351</f>
        <v>17</v>
      </c>
      <c r="L330" s="24">
        <f>+EDITABLE!L351</f>
        <v>45288</v>
      </c>
    </row>
    <row r="331" spans="1:13" x14ac:dyDescent="0.25">
      <c r="A331" s="3" t="str">
        <f>CONCATENATE(+EDITABLE!C352," ",H331)</f>
        <v>TECLADO FISCALIZACIÓN</v>
      </c>
      <c r="B331" s="3" t="str">
        <f>+EDITABLE!A352</f>
        <v>TECLFISCALIZ</v>
      </c>
      <c r="C331" s="6">
        <f>+EDITABLE!B352</f>
        <v>1</v>
      </c>
      <c r="D331" s="3" t="str">
        <f>+EDITABLE!D352</f>
        <v>NEGRO</v>
      </c>
      <c r="E331" s="3" t="str">
        <f>+EDITABLE!E352</f>
        <v>INS</v>
      </c>
      <c r="F331" s="3" t="str">
        <f>+EDITABLE!F352</f>
        <v>S/M</v>
      </c>
      <c r="G331" s="5" t="str">
        <f>+EDITABLE!G352</f>
        <v>S/S</v>
      </c>
      <c r="H331" s="3" t="str">
        <f>+EDITABLE!H352</f>
        <v>FISCALIZACIÓN</v>
      </c>
      <c r="I331" s="3" t="str">
        <f>+EDITABLE!I352</f>
        <v>BUENO</v>
      </c>
      <c r="J331" s="3" t="str">
        <f>+EDITABLE!J352</f>
        <v>ALAMBRICO, HERGONÓMICO, CONECTOR USB, CON TECLADO NUMÉRICO</v>
      </c>
      <c r="K331" s="2">
        <f>+EDITABLE!K352</f>
        <v>16.7</v>
      </c>
      <c r="L331" s="24">
        <f>+EDITABLE!L352</f>
        <v>45288</v>
      </c>
    </row>
    <row r="332" spans="1:13" x14ac:dyDescent="0.25">
      <c r="A332" s="3" t="str">
        <f>CONCATENATE(+EDITABLE!C353," ",H332)</f>
        <v>SWITCH DE INTERNET FISCALIZACIÓN</v>
      </c>
      <c r="B332" s="3" t="str">
        <f>+EDITABLE!A353</f>
        <v>SWITFISCALIZ</v>
      </c>
      <c r="C332" s="6">
        <f>+EDITABLE!B353</f>
        <v>1</v>
      </c>
      <c r="D332" s="3" t="str">
        <f>+EDITABLE!D353</f>
        <v>AZUL</v>
      </c>
      <c r="E332" s="3" t="str">
        <f>+EDITABLE!E353</f>
        <v>TP-LINK</v>
      </c>
      <c r="F332" s="3" t="str">
        <f>+EDITABLE!F353</f>
        <v>TN-SG108</v>
      </c>
      <c r="G332" s="5" t="str">
        <f>+EDITABLE!G353</f>
        <v>22361E5003891</v>
      </c>
      <c r="H332" s="3" t="str">
        <f>+EDITABLE!H353</f>
        <v>FISCALIZACIÓN</v>
      </c>
      <c r="I332" s="3" t="str">
        <f>+EDITABLE!I353</f>
        <v>BUENO</v>
      </c>
      <c r="J332" s="3" t="str">
        <f>+EDITABLE!J353</f>
        <v>DE 5 PUERTOS RJ45, TIPO DE COMUNICACIÓN STORE AND FORWARD</v>
      </c>
      <c r="K332" s="2">
        <f>+EDITABLE!K353</f>
        <v>22</v>
      </c>
      <c r="L332" s="24">
        <f>+EDITABLE!L353</f>
        <v>45288</v>
      </c>
    </row>
    <row r="333" spans="1:13" x14ac:dyDescent="0.25">
      <c r="A333" s="3" t="str">
        <f>CONCATENATE(+EDITABLE!C354," ",H333)</f>
        <v>PARLANTES FISCALIZACIÓN</v>
      </c>
      <c r="B333" s="3" t="str">
        <f>+EDITABLE!A354</f>
        <v>PARLFISCALIZ</v>
      </c>
      <c r="C333" s="6">
        <f>+EDITABLE!B354</f>
        <v>1</v>
      </c>
      <c r="D333" s="3" t="str">
        <f>+EDITABLE!D354</f>
        <v>NEGRO</v>
      </c>
      <c r="E333" s="3" t="str">
        <f>+EDITABLE!E354</f>
        <v>INS</v>
      </c>
      <c r="F333" s="3" t="str">
        <f>+EDITABLE!F354</f>
        <v>S/M</v>
      </c>
      <c r="G333" s="5" t="str">
        <f>+EDITABLE!G354</f>
        <v>S/M</v>
      </c>
      <c r="H333" s="3" t="str">
        <f>+EDITABLE!H354</f>
        <v>FISCALIZACIÓN</v>
      </c>
      <c r="I333" s="3" t="str">
        <f>+EDITABLE!I354</f>
        <v>BUENO</v>
      </c>
      <c r="J333" s="3" t="str">
        <f>+EDITABLE!J354</f>
        <v>CON CABLE DE SONIDO Y ENERGIA</v>
      </c>
      <c r="K333" s="2">
        <f>+EDITABLE!K354</f>
        <v>15</v>
      </c>
      <c r="L333" s="24">
        <f>+EDITABLE!L354</f>
        <v>45288</v>
      </c>
    </row>
    <row r="334" spans="1:13" x14ac:dyDescent="0.25">
      <c r="A334" s="3" t="str">
        <f>CONCATENATE(+EDITABLE!C355," ",H334)</f>
        <v xml:space="preserve"> 0</v>
      </c>
      <c r="B334" s="3" t="str">
        <f>+EDITABLE!A355</f>
        <v/>
      </c>
      <c r="C334" s="6">
        <f>+EDITABLE!B355</f>
        <v>0</v>
      </c>
      <c r="D334" s="3">
        <f>+EDITABLE!D355</f>
        <v>0</v>
      </c>
      <c r="E334" s="3">
        <f>+EDITABLE!E355</f>
        <v>0</v>
      </c>
      <c r="F334" s="3">
        <f>+EDITABLE!F355</f>
        <v>0</v>
      </c>
      <c r="G334" s="5">
        <f>+EDITABLE!G355</f>
        <v>0</v>
      </c>
      <c r="H334" s="3">
        <f>+EDITABLE!H355</f>
        <v>0</v>
      </c>
      <c r="I334" s="3">
        <f>+EDITABLE!I355</f>
        <v>0</v>
      </c>
      <c r="J334" s="3">
        <f>+EDITABLE!J355</f>
        <v>0</v>
      </c>
      <c r="K334" s="2">
        <f>+EDITABLE!K355</f>
        <v>0</v>
      </c>
      <c r="L334" s="24">
        <f>+EDITABLE!L355</f>
        <v>0</v>
      </c>
    </row>
    <row r="335" spans="1:13" x14ac:dyDescent="0.25">
      <c r="A335" s="3" t="str">
        <f>CONCATENATE(+EDITABLE!C356," ",H335)</f>
        <v xml:space="preserve"> 0</v>
      </c>
      <c r="B335" s="3" t="str">
        <f>+EDITABLE!A356</f>
        <v/>
      </c>
      <c r="C335" s="6">
        <f>+EDITABLE!B356</f>
        <v>0</v>
      </c>
      <c r="D335" s="3">
        <f>+EDITABLE!D356</f>
        <v>0</v>
      </c>
      <c r="E335" s="3">
        <f>+EDITABLE!E356</f>
        <v>0</v>
      </c>
      <c r="F335" s="3">
        <f>+EDITABLE!F356</f>
        <v>0</v>
      </c>
      <c r="G335" s="5">
        <f>+EDITABLE!G356</f>
        <v>0</v>
      </c>
      <c r="H335" s="3">
        <f>+EDITABLE!H356</f>
        <v>0</v>
      </c>
      <c r="I335" s="3">
        <f>+EDITABLE!I356</f>
        <v>0</v>
      </c>
      <c r="J335" s="3">
        <f>+EDITABLE!J356</f>
        <v>0</v>
      </c>
      <c r="K335" s="2">
        <f>+EDITABLE!K356</f>
        <v>0</v>
      </c>
      <c r="L335" s="24">
        <f>+EDITABLE!L356</f>
        <v>0</v>
      </c>
    </row>
    <row r="336" spans="1:13" x14ac:dyDescent="0.25">
      <c r="A336" s="3" t="str">
        <f>CONCATENATE(+EDITABLE!C357," ",H336)</f>
        <v xml:space="preserve"> 0</v>
      </c>
      <c r="B336" s="3" t="str">
        <f>+EDITABLE!A357</f>
        <v/>
      </c>
      <c r="C336" s="6">
        <f>+EDITABLE!B357</f>
        <v>0</v>
      </c>
      <c r="D336" s="3">
        <f>+EDITABLE!D357</f>
        <v>0</v>
      </c>
      <c r="E336" s="3">
        <f>+EDITABLE!E357</f>
        <v>0</v>
      </c>
      <c r="F336" s="3">
        <f>+EDITABLE!F357</f>
        <v>0</v>
      </c>
      <c r="G336" s="5">
        <f>+EDITABLE!G357</f>
        <v>0</v>
      </c>
      <c r="H336" s="3">
        <f>+EDITABLE!H357</f>
        <v>0</v>
      </c>
      <c r="I336" s="3">
        <f>+EDITABLE!I357</f>
        <v>0</v>
      </c>
      <c r="J336" s="3">
        <f>+EDITABLE!J357</f>
        <v>0</v>
      </c>
      <c r="K336" s="2">
        <f>+EDITABLE!K357</f>
        <v>0</v>
      </c>
      <c r="L336" s="24">
        <f>+EDITABLE!L357</f>
        <v>0</v>
      </c>
    </row>
    <row r="337" spans="1:13" x14ac:dyDescent="0.25">
      <c r="A337" s="3" t="str">
        <f>CONCATENATE(+EDITABLE!C359," ",H337)</f>
        <v>REGULADOR DE VOLTAJE  FUNERARIA</v>
      </c>
      <c r="B337" s="3" t="str">
        <f>+EDITABLE!A359</f>
        <v>REGUFUNERARI</v>
      </c>
      <c r="C337" s="6">
        <f>+EDITABLE!B359</f>
        <v>1</v>
      </c>
      <c r="D337" s="3" t="str">
        <f>+EDITABLE!D359</f>
        <v>NEGRO</v>
      </c>
      <c r="E337" s="3" t="str">
        <f>+EDITABLE!E359</f>
        <v>ALTEK</v>
      </c>
      <c r="F337" s="3" t="str">
        <f>+EDITABLE!F359</f>
        <v>AVR1600</v>
      </c>
      <c r="G337" s="5">
        <f>+EDITABLE!G359</f>
        <v>130414508</v>
      </c>
      <c r="H337" s="3" t="str">
        <f>+EDITABLE!H359</f>
        <v>FUNERARIA</v>
      </c>
      <c r="I337" s="3" t="str">
        <f>+EDITABLE!I359</f>
        <v>BUENO</v>
      </c>
      <c r="J337" s="3" t="str">
        <f>+EDITABLE!J359</f>
        <v>CON 8 TOMAS Y 2 TOMAS RJ 11 DE TELÉFONO, 200v</v>
      </c>
      <c r="K337" s="2">
        <f>+EDITABLE!K359</f>
        <v>13</v>
      </c>
      <c r="L337" s="24">
        <f>+EDITABLE!L359</f>
        <v>44207</v>
      </c>
      <c r="M337">
        <v>23</v>
      </c>
    </row>
    <row r="338" spans="1:13" x14ac:dyDescent="0.25">
      <c r="A338" s="3" t="str">
        <f>CONCATENATE(+EDITABLE!C360," ",H338)</f>
        <v>REGULADOR DE VOLTAGE  FUNERARIA</v>
      </c>
      <c r="B338" s="3" t="str">
        <f>+EDITABLE!A360</f>
        <v>REGUFUNERARI</v>
      </c>
      <c r="C338" s="6">
        <f>+EDITABLE!B360</f>
        <v>1</v>
      </c>
      <c r="D338" s="3" t="str">
        <f>+EDITABLE!D360</f>
        <v>NEGRO</v>
      </c>
      <c r="E338" s="3" t="str">
        <f>+EDITABLE!E360</f>
        <v>APEX</v>
      </c>
      <c r="F338" s="3" t="str">
        <f>+EDITABLE!F360</f>
        <v>AVP1500M</v>
      </c>
      <c r="G338" s="5">
        <f>+EDITABLE!G360</f>
        <v>92900959</v>
      </c>
      <c r="H338" s="3" t="str">
        <f>+EDITABLE!H360</f>
        <v>FUNERARIA</v>
      </c>
      <c r="I338" s="3" t="str">
        <f>+EDITABLE!I360</f>
        <v>BUENO</v>
      </c>
      <c r="J338" s="3" t="str">
        <f>+EDITABLE!J360</f>
        <v>DE 8 TOMAS Y DOS TOMAS RJ 11 DE TELÉFONO, 1000va</v>
      </c>
      <c r="K338" s="2">
        <f>+EDITABLE!K360</f>
        <v>17.739999999999998</v>
      </c>
      <c r="L338" s="24">
        <f>+EDITABLE!L360</f>
        <v>44207</v>
      </c>
    </row>
    <row r="339" spans="1:13" x14ac:dyDescent="0.25">
      <c r="A339" s="3" t="str">
        <f>CONCATENATE(+EDITABLE!C361," ",H339)</f>
        <v xml:space="preserve"> 0</v>
      </c>
      <c r="B339" s="3" t="str">
        <f>+EDITABLE!A361</f>
        <v/>
      </c>
      <c r="C339" s="6">
        <f>+EDITABLE!B361</f>
        <v>0</v>
      </c>
      <c r="D339" s="3">
        <f>+EDITABLE!D361</f>
        <v>0</v>
      </c>
      <c r="E339" s="3">
        <f>+EDITABLE!E361</f>
        <v>0</v>
      </c>
      <c r="F339" s="3">
        <f>+EDITABLE!F361</f>
        <v>0</v>
      </c>
      <c r="G339" s="5">
        <f>+EDITABLE!G361</f>
        <v>0</v>
      </c>
      <c r="H339" s="3">
        <f>+EDITABLE!H361</f>
        <v>0</v>
      </c>
      <c r="I339" s="3">
        <f>+EDITABLE!I361</f>
        <v>0</v>
      </c>
      <c r="J339" s="3">
        <f>+EDITABLE!J361</f>
        <v>0</v>
      </c>
      <c r="K339" s="2">
        <f>+EDITABLE!K361</f>
        <v>0</v>
      </c>
      <c r="L339" s="24">
        <f>+EDITABLE!L361</f>
        <v>0</v>
      </c>
    </row>
    <row r="340" spans="1:13" x14ac:dyDescent="0.25">
      <c r="A340" s="3" t="str">
        <f>CONCATENATE(+EDITABLE!C362," ",H340)</f>
        <v xml:space="preserve"> 0</v>
      </c>
      <c r="B340" s="3" t="str">
        <f>+EDITABLE!A362</f>
        <v/>
      </c>
      <c r="C340" s="6">
        <f>+EDITABLE!B362</f>
        <v>0</v>
      </c>
      <c r="D340" s="3">
        <f>+EDITABLE!D362</f>
        <v>0</v>
      </c>
      <c r="E340" s="3">
        <f>+EDITABLE!E362</f>
        <v>0</v>
      </c>
      <c r="F340" s="3">
        <f>+EDITABLE!F362</f>
        <v>0</v>
      </c>
      <c r="G340" s="5">
        <f>+EDITABLE!G362</f>
        <v>0</v>
      </c>
      <c r="H340" s="3">
        <f>+EDITABLE!H362</f>
        <v>0</v>
      </c>
      <c r="I340" s="3">
        <f>+EDITABLE!I362</f>
        <v>0</v>
      </c>
      <c r="J340" s="3">
        <f>+EDITABLE!J362</f>
        <v>0</v>
      </c>
      <c r="K340" s="2">
        <f>+EDITABLE!K362</f>
        <v>0</v>
      </c>
      <c r="L340" s="24">
        <f>+EDITABLE!L362</f>
        <v>0</v>
      </c>
    </row>
    <row r="341" spans="1:13" x14ac:dyDescent="0.25">
      <c r="A341" s="3" t="str">
        <f>CONCATENATE(+EDITABLE!C363," ",H341)</f>
        <v xml:space="preserve"> 0</v>
      </c>
      <c r="B341" s="3" t="str">
        <f>+EDITABLE!A363</f>
        <v/>
      </c>
      <c r="C341" s="6">
        <f>+EDITABLE!B363</f>
        <v>0</v>
      </c>
      <c r="D341" s="3">
        <f>+EDITABLE!D363</f>
        <v>0</v>
      </c>
      <c r="E341" s="3">
        <f>+EDITABLE!E363</f>
        <v>0</v>
      </c>
      <c r="F341" s="3">
        <f>+EDITABLE!F363</f>
        <v>0</v>
      </c>
      <c r="G341" s="5">
        <f>+EDITABLE!G363</f>
        <v>0</v>
      </c>
      <c r="H341" s="3">
        <f>+EDITABLE!H363</f>
        <v>0</v>
      </c>
      <c r="I341" s="3">
        <f>+EDITABLE!I363</f>
        <v>0</v>
      </c>
      <c r="J341" s="3">
        <f>+EDITABLE!J363</f>
        <v>0</v>
      </c>
      <c r="K341" s="2">
        <f>+EDITABLE!K363</f>
        <v>0</v>
      </c>
      <c r="L341" s="24">
        <f>+EDITABLE!L363</f>
        <v>0</v>
      </c>
    </row>
    <row r="342" spans="1:13" x14ac:dyDescent="0.25">
      <c r="A342" s="3" t="str">
        <f>CONCATENATE(+EDITABLE!C365," ",H342)</f>
        <v>MODEM WIFI ASESORÍA TÉCNICA VIAL</v>
      </c>
      <c r="B342" s="3" t="str">
        <f>+EDITABLE!A365</f>
        <v>MODEASESORÍA</v>
      </c>
      <c r="C342" s="6">
        <f>+EDITABLE!B365</f>
        <v>1</v>
      </c>
      <c r="D342" s="3" t="str">
        <f>+EDITABLE!D365</f>
        <v>BLANCO</v>
      </c>
      <c r="E342" s="3" t="str">
        <f>+EDITABLE!E365</f>
        <v>HUAWEI</v>
      </c>
      <c r="F342" s="3" t="str">
        <f>+EDITABLE!F365</f>
        <v>ECHOLIFE HG8546M</v>
      </c>
      <c r="G342" s="5" t="str">
        <f>+EDITABLE!G365</f>
        <v>2015DP0479</v>
      </c>
      <c r="H342" s="3" t="str">
        <f>+EDITABLE!H365</f>
        <v>ASESORÍA TÉCNICA VIAL</v>
      </c>
      <c r="I342" s="3" t="str">
        <f>+EDITABLE!I365</f>
        <v>BUENO</v>
      </c>
      <c r="J342" s="3" t="str">
        <f>+EDITABLE!J365</f>
        <v>DE 6 PUERTOS PARA RJ45 Y 1 DE USB</v>
      </c>
      <c r="K342" s="2">
        <f>+EDITABLE!K365</f>
        <v>80</v>
      </c>
      <c r="L342" s="24">
        <f>+EDITABLE!L365</f>
        <v>44375</v>
      </c>
      <c r="M342">
        <v>24</v>
      </c>
    </row>
    <row r="343" spans="1:13" x14ac:dyDescent="0.25">
      <c r="A343" s="3" t="str">
        <f>CONCATENATE(+EDITABLE!C366," ",H343)</f>
        <v>IMPRESORA ASESORÍA TÉCNICA VIAL</v>
      </c>
      <c r="B343" s="3" t="str">
        <f>+EDITABLE!A366</f>
        <v>IMPRASESORÍA</v>
      </c>
      <c r="C343" s="6">
        <f>+EDITABLE!B366</f>
        <v>1</v>
      </c>
      <c r="D343" s="3" t="str">
        <f>+EDITABLE!D366</f>
        <v>NEGRO</v>
      </c>
      <c r="E343" s="3" t="str">
        <f>+EDITABLE!E366</f>
        <v>EPSON</v>
      </c>
      <c r="F343" s="3" t="str">
        <f>+EDITABLE!F366</f>
        <v>L3150</v>
      </c>
      <c r="G343" s="5" t="str">
        <f>+EDITABLE!G366</f>
        <v>XTGP288327</v>
      </c>
      <c r="H343" s="3" t="str">
        <f>+EDITABLE!H366</f>
        <v>ASESORÍA TÉCNICA VIAL</v>
      </c>
      <c r="I343" s="3" t="str">
        <f>+EDITABLE!I366</f>
        <v>BUENO</v>
      </c>
      <c r="J343" s="3" t="str">
        <f>+EDITABLE!J366</f>
        <v>CON TINTA CONTINUA A COLORES CABLE DE DATOS Y CABLE DE ENERGIA</v>
      </c>
      <c r="K343" s="2">
        <f>+EDITABLE!K366</f>
        <v>185</v>
      </c>
      <c r="L343" s="24">
        <f>+EDITABLE!L366</f>
        <v>44375</v>
      </c>
    </row>
    <row r="344" spans="1:13" x14ac:dyDescent="0.25">
      <c r="A344" s="3" t="str">
        <f>CONCATENATE(+EDITABLE!C367," ",H344)</f>
        <v>REGULADOR DE VOLTAJE ASESORÍA TÉCNICA VIAL</v>
      </c>
      <c r="B344" s="3" t="str">
        <f>+EDITABLE!A367</f>
        <v>REGUASESORÍA</v>
      </c>
      <c r="C344" s="6">
        <f>+EDITABLE!B367</f>
        <v>1</v>
      </c>
      <c r="D344" s="3" t="str">
        <f>+EDITABLE!D367</f>
        <v>NEGRO</v>
      </c>
      <c r="E344" s="3" t="str">
        <f>+EDITABLE!E367</f>
        <v>INS</v>
      </c>
      <c r="F344" s="3" t="str">
        <f>+EDITABLE!F367</f>
        <v>AVRINS2000VA</v>
      </c>
      <c r="G344" s="5" t="str">
        <f>+EDITABLE!G367</f>
        <v>19C04206303</v>
      </c>
      <c r="H344" s="3" t="str">
        <f>+EDITABLE!H367</f>
        <v>ASESORÍA TÉCNICA VIAL</v>
      </c>
      <c r="I344" s="3" t="str">
        <f>+EDITABLE!I367</f>
        <v>BUENO</v>
      </c>
      <c r="J344" s="3" t="str">
        <f>+EDITABLE!J367</f>
        <v>CON 8 TOMAS Y 2 DE TELÉFONO, 2000va</v>
      </c>
      <c r="K344" s="2">
        <f>+EDITABLE!K367</f>
        <v>13</v>
      </c>
      <c r="L344" s="24">
        <f>+EDITABLE!L367</f>
        <v>44375</v>
      </c>
    </row>
    <row r="345" spans="1:13" x14ac:dyDescent="0.25">
      <c r="A345" s="3" t="str">
        <f>CONCATENATE(+EDITABLE!C368," ",H345)</f>
        <v>RELOJ BIOMETRICO ASESORÍA TÉCNICA VIAL</v>
      </c>
      <c r="B345" s="3" t="str">
        <f>+EDITABLE!A368</f>
        <v>RELOASESORÍA</v>
      </c>
      <c r="C345" s="6">
        <f>+EDITABLE!B368</f>
        <v>1</v>
      </c>
      <c r="D345" s="3" t="str">
        <f>+EDITABLE!D368</f>
        <v>NEGRO</v>
      </c>
      <c r="E345" s="3" t="str">
        <f>+EDITABLE!E368</f>
        <v>ZK-TECO</v>
      </c>
      <c r="F345" s="3" t="str">
        <f>+EDITABLE!F368</f>
        <v>V300-G-ID</v>
      </c>
      <c r="G345" s="5" t="str">
        <f>+EDITABLE!G368</f>
        <v>6339152700612</v>
      </c>
      <c r="H345" s="3" t="str">
        <f>+EDITABLE!H368</f>
        <v>ASESORÍA TÉCNICA VIAL</v>
      </c>
      <c r="I345" s="3" t="str">
        <f>+EDITABLE!I368</f>
        <v>BUENO</v>
      </c>
      <c r="J345" s="3" t="str">
        <f>+EDITABLE!J368</f>
        <v>Reconocimiento biométrico preciso: Utiliza algoritmos de vanguardia para garantizar una identificación precisa de huellas dactilares.
Diseño compacto y elegante: Su diseño estilizado se adapta fácilmente a cualquier entorno y brinda una apariencia moderna.</v>
      </c>
      <c r="K345" s="2">
        <f>+EDITABLE!K368</f>
        <v>250</v>
      </c>
      <c r="L345" s="24">
        <f>+EDITABLE!L368</f>
        <v>45364</v>
      </c>
    </row>
    <row r="346" spans="1:13" x14ac:dyDescent="0.25">
      <c r="A346" s="3" t="str">
        <f>CONCATENATE(+EDITABLE!C369," ",H346)</f>
        <v>PARLANTES ASESORÍA TÉCNICA VIAL</v>
      </c>
      <c r="B346" s="3" t="str">
        <f>+EDITABLE!A369</f>
        <v>PARLASESORÍA</v>
      </c>
      <c r="C346" s="6">
        <f>+EDITABLE!B369</f>
        <v>1</v>
      </c>
      <c r="D346" s="3" t="str">
        <f>+EDITABLE!D369</f>
        <v>NEGRO/CROMADO</v>
      </c>
      <c r="E346" s="3" t="str">
        <f>+EDITABLE!E369</f>
        <v>DELUX</v>
      </c>
      <c r="F346" s="3" t="str">
        <f>+EDITABLE!F369</f>
        <v>MULTIMEDIASPEAKER</v>
      </c>
      <c r="G346" s="5" t="str">
        <f>+EDITABLE!G369</f>
        <v>S-2012U</v>
      </c>
      <c r="H346" s="3" t="str">
        <f>+EDITABLE!H369</f>
        <v>ASESORÍA TÉCNICA VIAL</v>
      </c>
      <c r="I346" s="3" t="str">
        <f>+EDITABLE!I369</f>
        <v>BUENO</v>
      </c>
      <c r="J346" s="3" t="str">
        <f>+EDITABLE!J369</f>
        <v>PARLANTES USB</v>
      </c>
      <c r="K346" s="2">
        <f>+EDITABLE!K369</f>
        <v>15</v>
      </c>
      <c r="L346" s="24">
        <f>+EDITABLE!L369</f>
        <v>44244</v>
      </c>
    </row>
    <row r="347" spans="1:13" x14ac:dyDescent="0.25">
      <c r="A347" s="3" t="str">
        <f>CONCATENATE(+EDITABLE!C370," ",H347)</f>
        <v>COMPUTADOR PORTATIL ASESORÍA TÉCNICA VIAL</v>
      </c>
      <c r="B347" s="3" t="str">
        <f>+EDITABLE!A370</f>
        <v>COMPASESORÍA</v>
      </c>
      <c r="C347" s="6">
        <f>+EDITABLE!B370</f>
        <v>1</v>
      </c>
      <c r="D347" s="3" t="str">
        <f>+EDITABLE!D370</f>
        <v>NEGRO</v>
      </c>
      <c r="E347" s="3" t="str">
        <f>+EDITABLE!E370</f>
        <v>HACER</v>
      </c>
      <c r="F347" s="3" t="str">
        <f>+EDITABLE!F370</f>
        <v>ASPIREONE 725-0480</v>
      </c>
      <c r="G347" s="5" t="str">
        <f>+EDITABLE!G370</f>
        <v>NUSGPAL00921916F7D7600</v>
      </c>
      <c r="H347" s="3" t="str">
        <f>+EDITABLE!H370</f>
        <v>ASESORÍA TÉCNICA VIAL</v>
      </c>
      <c r="I347" s="3" t="str">
        <f>+EDITABLE!I370</f>
        <v>BUENO</v>
      </c>
      <c r="J347" s="3" t="str">
        <f>+EDITABLE!J370</f>
        <v>WINDOWS 7 STARTER, PROCESADOR: AMD C-60 APU WITH RADEMO™ HD GRAPHICS, 1.00 GHZ, RAM 2 GB, 32 BITS, INTERNET INALAMBRICO Y POR CABLE, CARGADOR DE ENERGIA</v>
      </c>
      <c r="K347" s="2">
        <f>+EDITABLE!K370</f>
        <v>200</v>
      </c>
      <c r="L347" s="24">
        <f>+EDITABLE!L370</f>
        <v>44249</v>
      </c>
    </row>
    <row r="348" spans="1:13" x14ac:dyDescent="0.25">
      <c r="A348" s="3" t="str">
        <f>CONCATENATE(+EDITABLE!C371," ",H348)</f>
        <v>NVR ASESORÍA TÉCNICA VIAL</v>
      </c>
      <c r="B348" s="3" t="str">
        <f>+EDITABLE!A373</f>
        <v>CAMAASESORÍA</v>
      </c>
      <c r="C348" s="6">
        <f>+EDITABLE!B373</f>
        <v>2</v>
      </c>
      <c r="D348" s="3" t="str">
        <f>+EDITABLE!D373</f>
        <v>BLANCO/NEGRO</v>
      </c>
      <c r="E348" s="3" t="str">
        <f>+EDITABLE!E373</f>
        <v>HIBRIDA</v>
      </c>
      <c r="F348" s="3" t="str">
        <f>+EDITABLE!F373</f>
        <v>HIBRIDA</v>
      </c>
      <c r="G348" s="5" t="str">
        <f>+EDITABLE!G373</f>
        <v>S/S</v>
      </c>
      <c r="H348" s="3" t="str">
        <f>+EDITABLE!H373</f>
        <v>ASESORÍA TÉCNICA VIAL</v>
      </c>
      <c r="I348" s="3" t="str">
        <f>+EDITABLE!I373</f>
        <v>BUENO</v>
      </c>
      <c r="J348" s="3" t="str">
        <f>+EDITABLE!J373</f>
        <v>HIBRIRA/2.8 mm/IR/IP67/AUDIO DUAL LIGHT/POE-DIST</v>
      </c>
      <c r="K348" s="2">
        <f>+EDITABLE!K371</f>
        <v>120</v>
      </c>
      <c r="L348" s="24">
        <f>+EDITABLE!L373</f>
        <v>45985</v>
      </c>
    </row>
    <row r="349" spans="1:13" x14ac:dyDescent="0.25">
      <c r="A349" s="3" t="str">
        <f>CONCATENATE(+EDITABLE!C372," ",H349)</f>
        <v>DISCO DURO ASESORÍA TÉCNICA VIAL</v>
      </c>
      <c r="B349" s="3" t="str">
        <f>+EDITABLE!A374</f>
        <v>CAMAASESORÍA</v>
      </c>
      <c r="C349" s="6">
        <f>+EDITABLE!B374</f>
        <v>1</v>
      </c>
      <c r="D349" s="3" t="str">
        <f>+EDITABLE!D374</f>
        <v>BLANCO</v>
      </c>
      <c r="E349" s="3" t="str">
        <f>+EDITABLE!E374</f>
        <v>HIKVISION</v>
      </c>
      <c r="F349" s="3" t="str">
        <f>+EDITABLE!F374</f>
        <v>DOMO</v>
      </c>
      <c r="G349" s="5" t="str">
        <f>+EDITABLE!G374</f>
        <v>DS-2CD1123GOE-I</v>
      </c>
      <c r="H349" s="3" t="str">
        <f>+EDITABLE!H374</f>
        <v>ASESORÍA TÉCNICA VIAL</v>
      </c>
      <c r="I349" s="3" t="str">
        <f>+EDITABLE!I374</f>
        <v>BUENO</v>
      </c>
      <c r="J349" s="3" t="str">
        <f>+EDITABLE!J374</f>
        <v xml:space="preserve">1080P, LENTE 2.8MM ALIMENTACION 12v 700ma O POE </v>
      </c>
      <c r="K349" s="2">
        <f>+EDITABLE!K372</f>
        <v>90.87</v>
      </c>
      <c r="L349" s="24">
        <f>+EDITABLE!L374</f>
        <v>0</v>
      </c>
    </row>
    <row r="350" spans="1:13" x14ac:dyDescent="0.25">
      <c r="A350" s="3" t="str">
        <f>CONCATENATE(+EDITABLE!C373," ",H350)</f>
        <v xml:space="preserve">CAMARA </v>
      </c>
      <c r="B350" s="3"/>
      <c r="C350" s="6"/>
      <c r="D350" s="3"/>
      <c r="E350" s="3"/>
      <c r="F350" s="3"/>
      <c r="G350" s="5"/>
      <c r="H350" s="3"/>
      <c r="I350" s="3"/>
      <c r="J350" s="3"/>
      <c r="K350" s="2"/>
      <c r="L350" s="24"/>
    </row>
    <row r="351" spans="1:13" x14ac:dyDescent="0.25">
      <c r="A351" s="3" t="str">
        <f>CONCATENATE(+EDITABLE!C374," ",H351)</f>
        <v xml:space="preserve">CAMARA </v>
      </c>
      <c r="B351" s="3"/>
      <c r="C351" s="6"/>
      <c r="D351" s="3"/>
      <c r="E351" s="3"/>
      <c r="F351" s="3"/>
      <c r="G351" s="5"/>
      <c r="H351" s="3"/>
      <c r="I351" s="3"/>
      <c r="J351" s="3"/>
      <c r="K351" s="2"/>
      <c r="L351" s="24"/>
    </row>
    <row r="352" spans="1:13" x14ac:dyDescent="0.25">
      <c r="A352" s="3"/>
      <c r="B352" s="3"/>
      <c r="C352" s="6"/>
      <c r="D352" s="3"/>
      <c r="E352" s="3"/>
      <c r="F352" s="3"/>
      <c r="G352" s="5"/>
      <c r="H352" s="3"/>
      <c r="I352" s="3"/>
      <c r="J352" s="3"/>
      <c r="K352" s="2"/>
      <c r="L352" s="24"/>
    </row>
    <row r="353" spans="1:13" x14ac:dyDescent="0.25">
      <c r="A353" s="3" t="str">
        <f>CONCATENATE(+EDITABLE!C375," ",H353)</f>
        <v xml:space="preserve"> 0</v>
      </c>
      <c r="B353" s="3" t="str">
        <f>+EDITABLE!A375</f>
        <v/>
      </c>
      <c r="C353" s="6">
        <f>+EDITABLE!B375</f>
        <v>0</v>
      </c>
      <c r="D353" s="3">
        <f>+EDITABLE!D375</f>
        <v>0</v>
      </c>
      <c r="E353" s="3">
        <f>+EDITABLE!E375</f>
        <v>0</v>
      </c>
      <c r="F353" s="3">
        <f>+EDITABLE!F375</f>
        <v>0</v>
      </c>
      <c r="G353" s="5">
        <f>+EDITABLE!G375</f>
        <v>0</v>
      </c>
      <c r="H353" s="3">
        <f>+EDITABLE!H375</f>
        <v>0</v>
      </c>
      <c r="I353" s="3">
        <f>+EDITABLE!I375</f>
        <v>0</v>
      </c>
      <c r="J353" s="3">
        <f>+EDITABLE!J375</f>
        <v>0</v>
      </c>
      <c r="K353" s="2">
        <f>+EDITABLE!K375</f>
        <v>0</v>
      </c>
      <c r="L353" s="24">
        <f>+EDITABLE!L375</f>
        <v>0</v>
      </c>
    </row>
    <row r="354" spans="1:13" x14ac:dyDescent="0.25">
      <c r="A354" s="3" t="str">
        <f>CONCATENATE(+EDITABLE!C377," ",H354)</f>
        <v>PROYECTOR AULA-MEC</v>
      </c>
      <c r="B354" s="3" t="str">
        <f>+EDITABLE!A377</f>
        <v>PROYAULA-MEC</v>
      </c>
      <c r="C354" s="6">
        <f>+EDITABLE!B377</f>
        <v>1</v>
      </c>
      <c r="D354" s="3" t="str">
        <f>+EDITABLE!D377</f>
        <v>NEGRO</v>
      </c>
      <c r="E354" s="3" t="str">
        <f>+EDITABLE!E377</f>
        <v>EPSON</v>
      </c>
      <c r="F354" s="3" t="str">
        <f>+EDITABLE!F377</f>
        <v>POWER LITE S12+</v>
      </c>
      <c r="G354" s="5" t="str">
        <f>+EDITABLE!G377</f>
        <v>PSPK3401963</v>
      </c>
      <c r="H354" s="3" t="str">
        <f>+EDITABLE!H377</f>
        <v>AULA-MEC</v>
      </c>
      <c r="I354" s="3" t="str">
        <f>+EDITABLE!I377</f>
        <v>REGULAR</v>
      </c>
      <c r="J354" s="3" t="str">
        <f>+EDITABLE!J377</f>
        <v>CON PEDESTAL, CABLE VGA DE 15 m. Y CABLE DE ENERGIA</v>
      </c>
      <c r="K354" s="2">
        <f>+EDITABLE!K377</f>
        <v>436</v>
      </c>
      <c r="L354" s="24">
        <f>+EDITABLE!L377</f>
        <v>45490</v>
      </c>
      <c r="M354">
        <v>25</v>
      </c>
    </row>
    <row r="355" spans="1:13" x14ac:dyDescent="0.25">
      <c r="A355" s="3" t="str">
        <f>CONCATENATE(+EDITABLE!C378," ",H355)</f>
        <v>PARLANTES AULA-MEC</v>
      </c>
      <c r="B355" s="3" t="str">
        <f>+EDITABLE!A378</f>
        <v>PARLAULA-MEC</v>
      </c>
      <c r="C355" s="6">
        <f>+EDITABLE!B378</f>
        <v>1</v>
      </c>
      <c r="D355" s="3" t="str">
        <f>+EDITABLE!D378</f>
        <v>NEGRO</v>
      </c>
      <c r="E355" s="3" t="str">
        <f>+EDITABLE!E378</f>
        <v>KLIP EXTREME</v>
      </c>
      <c r="F355" s="3" t="str">
        <f>+EDITABLE!F378</f>
        <v>KSS-710</v>
      </c>
      <c r="G355" s="5" t="str">
        <f>+EDITABLE!G378</f>
        <v>13-11580</v>
      </c>
      <c r="H355" s="3" t="str">
        <f>+EDITABLE!H378</f>
        <v>AULA-MEC</v>
      </c>
      <c r="I355" s="3" t="str">
        <f>+EDITABLE!I378</f>
        <v>BUENO</v>
      </c>
      <c r="J355" s="3" t="str">
        <f>+EDITABLE!J378</f>
        <v>CON SOPORTE AEREO, CABLE DE SONIO DE 20 m. Y CABLE DE ENERGIA</v>
      </c>
      <c r="K355" s="2">
        <f>+EDITABLE!K378</f>
        <v>30</v>
      </c>
      <c r="L355" s="24">
        <f>+EDITABLE!L378</f>
        <v>45490</v>
      </c>
    </row>
    <row r="356" spans="1:13" x14ac:dyDescent="0.25">
      <c r="A356" s="3" t="str">
        <f>CONCATENATE(+EDITABLE!C379," ",H356)</f>
        <v xml:space="preserve"> 0</v>
      </c>
      <c r="B356" s="3" t="str">
        <f>+EDITABLE!A379</f>
        <v/>
      </c>
      <c r="C356" s="6">
        <f>+EDITABLE!B379</f>
        <v>0</v>
      </c>
      <c r="D356" s="3">
        <f>+EDITABLE!D379</f>
        <v>0</v>
      </c>
      <c r="E356" s="3">
        <f>+EDITABLE!E379</f>
        <v>0</v>
      </c>
      <c r="F356" s="3">
        <f>+EDITABLE!F379</f>
        <v>0</v>
      </c>
      <c r="G356" s="5">
        <f>+EDITABLE!G379</f>
        <v>0</v>
      </c>
      <c r="H356" s="3">
        <f>+EDITABLE!H379</f>
        <v>0</v>
      </c>
      <c r="I356" s="3">
        <f>+EDITABLE!I379</f>
        <v>0</v>
      </c>
      <c r="J356" s="3">
        <f>+EDITABLE!J379</f>
        <v>0</v>
      </c>
      <c r="K356" s="2">
        <f>+EDITABLE!K379</f>
        <v>0</v>
      </c>
      <c r="L356" s="24">
        <f>+EDITABLE!L379</f>
        <v>0</v>
      </c>
    </row>
    <row r="357" spans="1:13" x14ac:dyDescent="0.25">
      <c r="A357" s="3" t="str">
        <f>CONCATENATE(+EDITABLE!C380," ",H357)</f>
        <v xml:space="preserve"> 0</v>
      </c>
      <c r="B357" s="3" t="str">
        <f>+EDITABLE!A380</f>
        <v/>
      </c>
      <c r="C357" s="6">
        <f>+EDITABLE!B380</f>
        <v>0</v>
      </c>
      <c r="D357" s="3">
        <f>+EDITABLE!D380</f>
        <v>0</v>
      </c>
      <c r="E357" s="3">
        <f>+EDITABLE!E380</f>
        <v>0</v>
      </c>
      <c r="F357" s="3">
        <f>+EDITABLE!F380</f>
        <v>0</v>
      </c>
      <c r="G357" s="5">
        <f>+EDITABLE!G380</f>
        <v>0</v>
      </c>
      <c r="H357" s="3">
        <f>+EDITABLE!H380</f>
        <v>0</v>
      </c>
      <c r="I357" s="3">
        <f>+EDITABLE!I380</f>
        <v>0</v>
      </c>
      <c r="J357" s="3">
        <f>+EDITABLE!J380</f>
        <v>0</v>
      </c>
      <c r="K357" s="2">
        <f>+EDITABLE!K380</f>
        <v>0</v>
      </c>
      <c r="L357" s="24">
        <f>+EDITABLE!L380</f>
        <v>0</v>
      </c>
    </row>
    <row r="358" spans="1:13" x14ac:dyDescent="0.25">
      <c r="A358" s="3" t="str">
        <f>CONCATENATE(+EDITABLE!C381," ",H358)</f>
        <v xml:space="preserve"> 0</v>
      </c>
      <c r="B358" s="3" t="str">
        <f>+EDITABLE!A381</f>
        <v/>
      </c>
      <c r="C358" s="6">
        <f>+EDITABLE!B381</f>
        <v>0</v>
      </c>
      <c r="D358" s="3">
        <f>+EDITABLE!D381</f>
        <v>0</v>
      </c>
      <c r="E358" s="3">
        <f>+EDITABLE!E381</f>
        <v>0</v>
      </c>
      <c r="F358" s="3">
        <f>+EDITABLE!F381</f>
        <v>0</v>
      </c>
      <c r="G358" s="5">
        <f>+EDITABLE!G381</f>
        <v>0</v>
      </c>
      <c r="H358" s="3">
        <f>+EDITABLE!H381</f>
        <v>0</v>
      </c>
      <c r="I358" s="3">
        <f>+EDITABLE!I381</f>
        <v>0</v>
      </c>
      <c r="J358" s="3">
        <f>+EDITABLE!J381</f>
        <v>0</v>
      </c>
      <c r="K358" s="2">
        <f>+EDITABLE!K381</f>
        <v>0</v>
      </c>
      <c r="L358" s="24">
        <f>+EDITABLE!L381</f>
        <v>0</v>
      </c>
    </row>
    <row r="359" spans="1:13" x14ac:dyDescent="0.25">
      <c r="A359" s="3" t="str">
        <f>CONCATENATE(+EDITABLE!C383," ",H359)</f>
        <v>MODEM WIFI HOSTAL</v>
      </c>
      <c r="B359" s="3" t="str">
        <f>+EDITABLE!A383</f>
        <v>MODEHOSTAL</v>
      </c>
      <c r="C359" s="6">
        <f>+EDITABLE!B383</f>
        <v>1</v>
      </c>
      <c r="D359" s="3" t="str">
        <f>+EDITABLE!D383</f>
        <v>BLANCO</v>
      </c>
      <c r="E359" s="3" t="str">
        <f>+EDITABLE!E383</f>
        <v>MERCUSYS</v>
      </c>
      <c r="F359" s="3" t="str">
        <f>+EDITABLE!F383</f>
        <v>AC12G</v>
      </c>
      <c r="G359" s="5" t="str">
        <f>+EDITABLE!G383</f>
        <v>22132A8003937</v>
      </c>
      <c r="H359" s="3" t="str">
        <f>+EDITABLE!H383</f>
        <v>HOSTAL</v>
      </c>
      <c r="I359" s="3" t="str">
        <f>+EDITABLE!I383</f>
        <v>REGULAR</v>
      </c>
      <c r="J359" s="3" t="str">
        <f>+EDITABLE!J383</f>
        <v>DE 8 TOMAS PARA CABLE RJ45, CON CABLE DE ENERGIA</v>
      </c>
      <c r="K359" s="2">
        <f>+EDITABLE!K383</f>
        <v>80</v>
      </c>
      <c r="L359" s="24">
        <f>+EDITABLE!L383</f>
        <v>45392</v>
      </c>
      <c r="M359">
        <v>26</v>
      </c>
    </row>
    <row r="360" spans="1:13" x14ac:dyDescent="0.25">
      <c r="A360" s="3" t="str">
        <f>CONCATENATE(+EDITABLE!C384," ",H360)</f>
        <v xml:space="preserve"> 0</v>
      </c>
      <c r="B360" s="3" t="str">
        <f>+EDITABLE!A384</f>
        <v/>
      </c>
      <c r="C360" s="6">
        <f>+EDITABLE!B384</f>
        <v>0</v>
      </c>
      <c r="D360" s="3">
        <f>+EDITABLE!D384</f>
        <v>0</v>
      </c>
      <c r="E360" s="3">
        <f>+EDITABLE!E384</f>
        <v>0</v>
      </c>
      <c r="F360" s="3">
        <f>+EDITABLE!F384</f>
        <v>0</v>
      </c>
      <c r="G360" s="5">
        <f>+EDITABLE!G384</f>
        <v>0</v>
      </c>
      <c r="H360" s="3">
        <f>+EDITABLE!H384</f>
        <v>0</v>
      </c>
      <c r="I360" s="3">
        <f>+EDITABLE!I384</f>
        <v>0</v>
      </c>
      <c r="J360" s="3">
        <f>+EDITABLE!J384</f>
        <v>0</v>
      </c>
      <c r="K360" s="2">
        <f>+EDITABLE!K384</f>
        <v>0</v>
      </c>
      <c r="L360" s="24">
        <f>+EDITABLE!L384</f>
        <v>0</v>
      </c>
    </row>
    <row r="361" spans="1:13" x14ac:dyDescent="0.25">
      <c r="A361" s="3" t="str">
        <f>CONCATENATE(+EDITABLE!C385," ",H361)</f>
        <v xml:space="preserve"> 0</v>
      </c>
      <c r="B361" s="3">
        <f>+EDITABLE!A385</f>
        <v>0</v>
      </c>
      <c r="C361" s="6">
        <f>+EDITABLE!B385</f>
        <v>0</v>
      </c>
      <c r="D361" s="3">
        <f>+EDITABLE!D385</f>
        <v>0</v>
      </c>
      <c r="E361" s="3">
        <f>+EDITABLE!E385</f>
        <v>0</v>
      </c>
      <c r="F361" s="3">
        <f>+EDITABLE!F385</f>
        <v>0</v>
      </c>
      <c r="G361" s="5">
        <f>+EDITABLE!G385</f>
        <v>0</v>
      </c>
      <c r="H361" s="3">
        <f>+EDITABLE!H385</f>
        <v>0</v>
      </c>
      <c r="I361" s="3">
        <f>+EDITABLE!I385</f>
        <v>0</v>
      </c>
      <c r="J361" s="3">
        <f>+EDITABLE!J385</f>
        <v>0</v>
      </c>
      <c r="K361" s="2">
        <f>+EDITABLE!K385</f>
        <v>0</v>
      </c>
      <c r="L361" s="24">
        <f>+EDITABLE!L385</f>
        <v>0</v>
      </c>
    </row>
    <row r="362" spans="1:13" x14ac:dyDescent="0.25">
      <c r="A362" s="3" t="str">
        <f>CONCATENATE(+EDITABLE!C386," ",H362)</f>
        <v xml:space="preserve"> 0</v>
      </c>
      <c r="B362" s="3">
        <f>+EDITABLE!A386</f>
        <v>0</v>
      </c>
      <c r="C362" s="6">
        <f>+EDITABLE!B386</f>
        <v>0</v>
      </c>
      <c r="D362" s="3">
        <f>+EDITABLE!D386</f>
        <v>0</v>
      </c>
      <c r="E362" s="3">
        <f>+EDITABLE!E386</f>
        <v>0</v>
      </c>
      <c r="F362" s="3">
        <f>+EDITABLE!F386</f>
        <v>0</v>
      </c>
      <c r="G362" s="5">
        <f>+EDITABLE!G386</f>
        <v>0</v>
      </c>
      <c r="H362" s="3">
        <f>+EDITABLE!H386</f>
        <v>0</v>
      </c>
      <c r="I362" s="3">
        <f>+EDITABLE!I386</f>
        <v>0</v>
      </c>
      <c r="J362" s="3">
        <f>+EDITABLE!J386</f>
        <v>0</v>
      </c>
      <c r="K362" s="2">
        <f>+EDITABLE!K386</f>
        <v>0</v>
      </c>
      <c r="L362" s="24">
        <f>+EDITABLE!L386</f>
        <v>0</v>
      </c>
    </row>
    <row r="363" spans="1:13" x14ac:dyDescent="0.25">
      <c r="A363" s="3" t="str">
        <f>CONCATENATE(+EDITABLE!C388," ",H363)</f>
        <v>SERVIDOR DE RED CUARTO DE RED</v>
      </c>
      <c r="B363" s="3" t="str">
        <f>+EDITABLE!A388</f>
        <v>SERVCUARTO D</v>
      </c>
      <c r="C363" s="6">
        <f>+EDITABLE!B388</f>
        <v>1</v>
      </c>
      <c r="D363" s="3" t="str">
        <f>+EDITABLE!D388</f>
        <v>NEGRO</v>
      </c>
      <c r="E363" s="3" t="str">
        <f>+EDITABLE!E388</f>
        <v>POWWEREDGE</v>
      </c>
      <c r="F363" s="3" t="str">
        <f>+EDITABLE!F388</f>
        <v>R230</v>
      </c>
      <c r="G363" s="5" t="str">
        <f>+EDITABLE!G388</f>
        <v>8T72D</v>
      </c>
      <c r="H363" s="3" t="str">
        <f>+EDITABLE!H388</f>
        <v>CUARTO DE RED</v>
      </c>
      <c r="I363" s="3" t="str">
        <f>+EDITABLE!I388</f>
        <v>BUENO</v>
      </c>
      <c r="J363" s="3" t="str">
        <f>+EDITABLE!J388</f>
        <v>3 REGLETAS PARA CABLES RJ45, 1 REGLETA ELECTRICA, SISTEMA OPERATIVO LINUX, ALOJA PAGINA WEB, PLATAFORMA EVA, TINE DOS DISCOS DUROS DE 2 TB CADA UNO</v>
      </c>
      <c r="K363" s="2">
        <f>+EDITABLE!K388</f>
        <v>2500</v>
      </c>
      <c r="L363" s="24">
        <f>+EDITABLE!L388</f>
        <v>44841</v>
      </c>
      <c r="M363">
        <v>27</v>
      </c>
    </row>
    <row r="364" spans="1:13" x14ac:dyDescent="0.25">
      <c r="A364" s="3" t="str">
        <f>CONCATENATE(+EDITABLE!C389," ",H364)</f>
        <v>DVR CUARTO DE RED</v>
      </c>
      <c r="B364" s="3" t="str">
        <f>+EDITABLE!A389</f>
        <v>DVRCUARTO D</v>
      </c>
      <c r="C364" s="6">
        <f>+EDITABLE!B389</f>
        <v>1</v>
      </c>
      <c r="D364" s="3" t="str">
        <f>+EDITABLE!D389</f>
        <v>NEGRO</v>
      </c>
      <c r="E364" s="3" t="str">
        <f>+EDITABLE!E389</f>
        <v>PENTAHIBRIDO</v>
      </c>
      <c r="F364" s="3" t="str">
        <f>+EDITABLE!F389</f>
        <v>1080P</v>
      </c>
      <c r="G364" s="5">
        <f>+EDITABLE!G389</f>
        <v>300222370</v>
      </c>
      <c r="H364" s="3" t="str">
        <f>+EDITABLE!H389</f>
        <v>CUARTO DE RED</v>
      </c>
      <c r="I364" s="3" t="str">
        <f>+EDITABLE!I389</f>
        <v>BUENO</v>
      </c>
      <c r="J364" s="3" t="str">
        <f>+EDITABLE!J389</f>
        <v>CON 16 CANALES</v>
      </c>
      <c r="K364" s="2">
        <f>+EDITABLE!K389</f>
        <v>230</v>
      </c>
      <c r="L364" s="24">
        <f>+EDITABLE!L389</f>
        <v>44841</v>
      </c>
    </row>
    <row r="365" spans="1:13" x14ac:dyDescent="0.25">
      <c r="A365" s="3" t="str">
        <f>CONCATENATE(+EDITABLE!C390," ",H365)</f>
        <v>BASE TELEFÓNICA CUARTO DE RED</v>
      </c>
      <c r="B365" s="3" t="str">
        <f>+EDITABLE!A390</f>
        <v>BASECUARTO D</v>
      </c>
      <c r="C365" s="6">
        <f>+EDITABLE!B390</f>
        <v>1</v>
      </c>
      <c r="D365" s="3" t="str">
        <f>+EDITABLE!D390</f>
        <v>NEGRO</v>
      </c>
      <c r="E365" s="3" t="str">
        <f>+EDITABLE!E390</f>
        <v>GRANDSTREAM</v>
      </c>
      <c r="F365" s="3" t="str">
        <f>+EDITABLE!F390</f>
        <v>UCM6301</v>
      </c>
      <c r="G365" s="5" t="str">
        <f>+EDITABLE!G390</f>
        <v>25QK6SYN519F8EA4</v>
      </c>
      <c r="H365" s="3" t="str">
        <f>+EDITABLE!H390</f>
        <v>CUARTO DE RED</v>
      </c>
      <c r="I365" s="3" t="str">
        <f>+EDITABLE!I390</f>
        <v>BUENO</v>
      </c>
      <c r="J365" s="3" t="str">
        <f>+EDITABLE!J390</f>
        <v>DE 8 PUERTOS</v>
      </c>
      <c r="K365" s="2">
        <f>+EDITABLE!K390</f>
        <v>200</v>
      </c>
      <c r="L365" s="24">
        <f>+EDITABLE!L390</f>
        <v>44841</v>
      </c>
    </row>
    <row r="366" spans="1:13" x14ac:dyDescent="0.25">
      <c r="A366" s="3" t="str">
        <f>CONCATENATE(+EDITABLE!C391," ",H366)</f>
        <v>UPS DE ENERGIA CUARTO DE RED</v>
      </c>
      <c r="B366" s="3" t="str">
        <f>+EDITABLE!A391</f>
        <v>UPS CUARTO D</v>
      </c>
      <c r="C366" s="6">
        <f>+EDITABLE!B391</f>
        <v>1</v>
      </c>
      <c r="D366" s="3" t="str">
        <f>+EDITABLE!D391</f>
        <v>NEGRO</v>
      </c>
      <c r="E366" s="3" t="str">
        <f>+EDITABLE!E391</f>
        <v>TECHUPS-1500VA</v>
      </c>
      <c r="F366" s="3" t="str">
        <f>+EDITABLE!F391</f>
        <v>UPS 1500VA</v>
      </c>
      <c r="G366" s="5" t="str">
        <f>+EDITABLE!G391</f>
        <v>900W</v>
      </c>
      <c r="H366" s="3" t="str">
        <f>+EDITABLE!H391</f>
        <v>CUARTO DE RED</v>
      </c>
      <c r="I366" s="3" t="str">
        <f>+EDITABLE!I391</f>
        <v>BUENO</v>
      </c>
      <c r="J366" s="3" t="str">
        <f>+EDITABLE!J391</f>
        <v>ACUMULADOR DE ENERGIA POR 30 MINUTOS, POTENCIA MÁXIMA DE 2000VA PARA UNA PROTECCIÓN ENERGÉTICA EFICIENTE</v>
      </c>
      <c r="K366" s="2">
        <f>+EDITABLE!K391</f>
        <v>120</v>
      </c>
      <c r="L366" s="24">
        <f>+EDITABLE!L391</f>
        <v>44841</v>
      </c>
    </row>
    <row r="367" spans="1:13" x14ac:dyDescent="0.25">
      <c r="A367" s="3" t="str">
        <f>CONCATENATE(+EDITABLE!C392," ",H367)</f>
        <v>MONITOR CUARTO DE RED</v>
      </c>
      <c r="B367" s="3" t="str">
        <f>+EDITABLE!A392</f>
        <v>MONICUARTO D</v>
      </c>
      <c r="C367" s="6">
        <f>+EDITABLE!B392</f>
        <v>1</v>
      </c>
      <c r="D367" s="3" t="str">
        <f>+EDITABLE!D392</f>
        <v>NEGRO</v>
      </c>
      <c r="E367" s="3" t="str">
        <f>+EDITABLE!E392</f>
        <v>LG</v>
      </c>
      <c r="F367" s="3" t="str">
        <f>+EDITABLE!F392</f>
        <v>GENERICO</v>
      </c>
      <c r="G367" s="5" t="str">
        <f>+EDITABLE!G392</f>
        <v>S/S</v>
      </c>
      <c r="H367" s="3" t="str">
        <f>+EDITABLE!H392</f>
        <v>CUARTO DE RED</v>
      </c>
      <c r="I367" s="3" t="str">
        <f>+EDITABLE!I392</f>
        <v>BUENO</v>
      </c>
      <c r="J367" s="3" t="str">
        <f>+EDITABLE!J392</f>
        <v>DE 19", CONECCIÓN VGA CON CABLE DE ENERGIA Y DATOS PARA VISUALIZAR LAS CÁMARAS DE SEGURIDAD</v>
      </c>
      <c r="K367" s="2">
        <f>+EDITABLE!K392</f>
        <v>60</v>
      </c>
      <c r="L367" s="24">
        <f>+EDITABLE!L392</f>
        <v>44841</v>
      </c>
    </row>
    <row r="368" spans="1:13" x14ac:dyDescent="0.25">
      <c r="A368" s="3" t="str">
        <f>CONCATENATE(+EDITABLE!C393," ",H368)</f>
        <v>MONITOR CUARTO DE RED</v>
      </c>
      <c r="B368" s="3" t="str">
        <f>+EDITABLE!A393</f>
        <v>MONICUARTO D</v>
      </c>
      <c r="C368" s="6">
        <f>+EDITABLE!B393</f>
        <v>1</v>
      </c>
      <c r="D368" s="3" t="str">
        <f>+EDITABLE!D393</f>
        <v>NEGRO</v>
      </c>
      <c r="E368" s="3" t="str">
        <f>+EDITABLE!E393</f>
        <v>LG</v>
      </c>
      <c r="F368" s="3" t="str">
        <f>+EDITABLE!F393</f>
        <v>GENERICO</v>
      </c>
      <c r="G368" s="5" t="str">
        <f>+EDITABLE!G393</f>
        <v>S/S</v>
      </c>
      <c r="H368" s="3" t="str">
        <f>+EDITABLE!H393</f>
        <v>CUARTO DE RED</v>
      </c>
      <c r="I368" s="3" t="str">
        <f>+EDITABLE!I393</f>
        <v>BUENO</v>
      </c>
      <c r="J368" s="3" t="str">
        <f>+EDITABLE!J393</f>
        <v>DE 19", CONECCIÓN VGA CON CABLE DE ENERGIA Y DATOS PARA VISUALIZAR EL ESTADO DEL CPU (SERVIDOR SISTEMA CONTABLE)</v>
      </c>
      <c r="K368" s="2">
        <f>+EDITABLE!K393</f>
        <v>60</v>
      </c>
      <c r="L368" s="24">
        <f>+EDITABLE!L393</f>
        <v>44841</v>
      </c>
    </row>
    <row r="369" spans="1:13" x14ac:dyDescent="0.25">
      <c r="A369" s="3" t="str">
        <f>CONCATENATE(+EDITABLE!C394," ",H369)</f>
        <v>MOUSE CUARTO DE RED</v>
      </c>
      <c r="B369" s="3" t="str">
        <f>+EDITABLE!A394</f>
        <v>MOUSCUARTO D</v>
      </c>
      <c r="C369" s="6">
        <f>+EDITABLE!B394</f>
        <v>1</v>
      </c>
      <c r="D369" s="3" t="str">
        <f>+EDITABLE!D394</f>
        <v>NEGRO</v>
      </c>
      <c r="E369" s="3" t="str">
        <f>+EDITABLE!E394</f>
        <v>GENERICO</v>
      </c>
      <c r="F369" s="3" t="str">
        <f>+EDITABLE!F394</f>
        <v>S/M</v>
      </c>
      <c r="G369" s="5" t="str">
        <f>+EDITABLE!G394</f>
        <v>S/S</v>
      </c>
      <c r="H369" s="3" t="str">
        <f>+EDITABLE!H394</f>
        <v>CUARTO DE RED</v>
      </c>
      <c r="I369" s="3" t="str">
        <f>+EDITABLE!I394</f>
        <v>BUENO</v>
      </c>
      <c r="J369" s="3" t="str">
        <f>+EDITABLE!J394</f>
        <v>ALAMBRICO, LUZ LED, DISEÑO ERGOÓMICO</v>
      </c>
      <c r="K369" s="2">
        <f>+EDITABLE!K394</f>
        <v>6</v>
      </c>
      <c r="L369" s="24">
        <f>+EDITABLE!L394</f>
        <v>44841</v>
      </c>
    </row>
    <row r="370" spans="1:13" x14ac:dyDescent="0.25">
      <c r="A370" s="3" t="str">
        <f>CONCATENATE(+EDITABLE!C395," ",H370)</f>
        <v>CPU CUARTO DE RED</v>
      </c>
      <c r="B370" s="3" t="str">
        <f>+EDITABLE!A395</f>
        <v>CPUCUARTO D</v>
      </c>
      <c r="C370" s="6">
        <f>+EDITABLE!B395</f>
        <v>1</v>
      </c>
      <c r="D370" s="3" t="str">
        <f>+EDITABLE!D395</f>
        <v>NEGRO</v>
      </c>
      <c r="E370" s="3" t="str">
        <f>+EDITABLE!E395</f>
        <v>ARES</v>
      </c>
      <c r="F370" s="3" t="str">
        <f>+EDITABLE!F395</f>
        <v>GENERICO</v>
      </c>
      <c r="G370" s="5" t="str">
        <f>+EDITABLE!G395</f>
        <v>S/S</v>
      </c>
      <c r="H370" s="3" t="str">
        <f>+EDITABLE!H395</f>
        <v>CUARTO DE RED</v>
      </c>
      <c r="I370" s="3" t="str">
        <f>+EDITABLE!I395</f>
        <v>BUENO</v>
      </c>
      <c r="J370" s="3" t="str">
        <f>+EDITABLE!J395</f>
        <v>WINDOWS 7 INTERPRISE, PROCESADOR: INTEL ® R CORE TM i7-3770 CPU, 3.40 GHZ, RAM 8 GB, 64 BITS, SIN CONECCIÓN A INTERNET</v>
      </c>
      <c r="K370" s="2">
        <f>+EDITABLE!K395</f>
        <v>250</v>
      </c>
      <c r="L370" s="24">
        <f>+EDITABLE!L395</f>
        <v>44841</v>
      </c>
    </row>
    <row r="371" spans="1:13" x14ac:dyDescent="0.25">
      <c r="A371" s="3" t="str">
        <f>CONCATENATE(+EDITABLE!C396," ",H371)</f>
        <v>TPLINK CUARTO DE RED</v>
      </c>
      <c r="B371" s="3" t="str">
        <f>+EDITABLE!A396</f>
        <v>TPLICUARTO D</v>
      </c>
      <c r="C371" s="6">
        <f>+EDITABLE!B396</f>
        <v>1</v>
      </c>
      <c r="D371" s="3" t="str">
        <f>+EDITABLE!D396</f>
        <v>NEGRO</v>
      </c>
      <c r="E371" s="3" t="str">
        <f>+EDITABLE!E396</f>
        <v>OMADA</v>
      </c>
      <c r="F371" s="3" t="str">
        <f>+EDITABLE!F396</f>
        <v>TP-LINK</v>
      </c>
      <c r="G371" s="5" t="str">
        <f>+EDITABLE!G396</f>
        <v>ER7212PC</v>
      </c>
      <c r="H371" s="3" t="str">
        <f>+EDITABLE!H396</f>
        <v>CUARTO DE RED</v>
      </c>
      <c r="I371" s="3" t="str">
        <f>+EDITABLE!I396</f>
        <v>BUENO</v>
      </c>
      <c r="J371" s="3">
        <f>+EDITABLE!J396</f>
        <v>0</v>
      </c>
      <c r="K371" s="2">
        <f>+EDITABLE!K396</f>
        <v>305.69</v>
      </c>
      <c r="L371" s="24">
        <f>+EDITABLE!L396</f>
        <v>45985</v>
      </c>
    </row>
    <row r="372" spans="1:13" x14ac:dyDescent="0.25">
      <c r="A372" s="3" t="str">
        <f>CONCATENATE(+EDITABLE!C397," ",H372)</f>
        <v>TPLINK CUARTO DE RED</v>
      </c>
      <c r="B372" s="3" t="str">
        <f>+EDITABLE!A397</f>
        <v>TPLICUARTO D</v>
      </c>
      <c r="C372" s="6">
        <f>+EDITABLE!B397</f>
        <v>2</v>
      </c>
      <c r="D372" s="3" t="str">
        <f>+EDITABLE!D397</f>
        <v>NEGRO</v>
      </c>
      <c r="E372" s="3" t="str">
        <f>+EDITABLE!E397</f>
        <v>OMADA</v>
      </c>
      <c r="F372" s="3" t="str">
        <f>+EDITABLE!F397</f>
        <v>TP-LINK</v>
      </c>
      <c r="G372" s="5" t="str">
        <f>+EDITABLE!G397</f>
        <v>SG3428</v>
      </c>
      <c r="H372" s="3" t="str">
        <f>+EDITABLE!H397</f>
        <v>CUARTO DE RED</v>
      </c>
      <c r="I372" s="3" t="str">
        <f>+EDITABLE!I397</f>
        <v>BUENO</v>
      </c>
      <c r="J372" s="3">
        <f>+EDITABLE!J397</f>
        <v>0</v>
      </c>
      <c r="K372" s="2">
        <f>+EDITABLE!K397</f>
        <v>532.5</v>
      </c>
      <c r="L372" s="24">
        <f>+EDITABLE!L397</f>
        <v>45985</v>
      </c>
    </row>
    <row r="373" spans="1:13" x14ac:dyDescent="0.25">
      <c r="A373" s="3" t="str">
        <f>CONCATENATE(+EDITABLE!C398," ",H373)</f>
        <v>TPLINK CUARTO DE RED</v>
      </c>
      <c r="B373" s="3" t="str">
        <f>+EDITABLE!A398</f>
        <v>TPLICUARTO D</v>
      </c>
      <c r="C373" s="6">
        <f>+EDITABLE!B398</f>
        <v>2</v>
      </c>
      <c r="D373" s="3" t="str">
        <f>+EDITABLE!D398</f>
        <v>NEGRO</v>
      </c>
      <c r="E373" s="3" t="str">
        <f>+EDITABLE!E398</f>
        <v>OMADA</v>
      </c>
      <c r="F373" s="3" t="str">
        <f>+EDITABLE!F398</f>
        <v>TP-LINK</v>
      </c>
      <c r="G373" s="5" t="str">
        <f>+EDITABLE!G398</f>
        <v>EAP650</v>
      </c>
      <c r="H373" s="3" t="str">
        <f>+EDITABLE!H398</f>
        <v>CUARTO DE RED</v>
      </c>
      <c r="I373" s="3" t="str">
        <f>+EDITABLE!I398</f>
        <v>BUENO</v>
      </c>
      <c r="J373" s="3">
        <f>+EDITABLE!J398</f>
        <v>0</v>
      </c>
      <c r="K373" s="2">
        <f>+EDITABLE!K398</f>
        <v>461</v>
      </c>
      <c r="L373" s="24">
        <f>+EDITABLE!L398</f>
        <v>45985</v>
      </c>
    </row>
    <row r="374" spans="1:13" x14ac:dyDescent="0.25">
      <c r="A374" s="3" t="str">
        <f>CONCATENATE(+EDITABLE!C403," ",H374)</f>
        <v>TECLADO BODEGA GRANDE</v>
      </c>
      <c r="B374" s="3" t="str">
        <f>+EDITABLE!A403</f>
        <v>TECLBODEGA G</v>
      </c>
      <c r="C374" s="6">
        <f>+EDITABLE!B403</f>
        <v>1</v>
      </c>
      <c r="D374" s="3" t="str">
        <f>+EDITABLE!D403</f>
        <v>NEGRO</v>
      </c>
      <c r="E374" s="3" t="str">
        <f>+EDITABLE!E403</f>
        <v>GENIUS</v>
      </c>
      <c r="F374" s="3" t="str">
        <f>+EDITABLE!F403</f>
        <v>GK-100011</v>
      </c>
      <c r="G374" s="5" t="str">
        <f>+EDITABLE!G403</f>
        <v>WE150EB12192</v>
      </c>
      <c r="H374" s="3" t="str">
        <f>+EDITABLE!H403</f>
        <v>BODEGA GRANDE</v>
      </c>
      <c r="I374" s="3" t="str">
        <f>+EDITABLE!I403</f>
        <v>BUENO</v>
      </c>
      <c r="J374" s="3" t="str">
        <f>+EDITABLE!J403</f>
        <v>ALAMBRICO, CONECTOR USB, COMPATIBLE PARA JUEGOS, TECLADO NUMÉRICO.</v>
      </c>
      <c r="K374" s="2">
        <f>+EDITABLE!K403</f>
        <v>10</v>
      </c>
      <c r="L374" s="24">
        <f>+EDITABLE!L403</f>
        <v>44292</v>
      </c>
      <c r="M374">
        <v>28</v>
      </c>
    </row>
    <row r="375" spans="1:13" x14ac:dyDescent="0.25">
      <c r="A375" s="3" t="str">
        <f>CONCATENATE(+EDITABLE!C404," ",H375)</f>
        <v>TECLADO BODEGA GRANDE</v>
      </c>
      <c r="B375" s="3" t="str">
        <f>+EDITABLE!A404</f>
        <v>TECLBODEGA G</v>
      </c>
      <c r="C375" s="6">
        <f>+EDITABLE!B404</f>
        <v>1</v>
      </c>
      <c r="D375" s="3" t="str">
        <f>+EDITABLE!D404</f>
        <v>NEGRO</v>
      </c>
      <c r="E375" s="3" t="str">
        <f>+EDITABLE!E404</f>
        <v>DELUX</v>
      </c>
      <c r="F375" s="3" t="str">
        <f>+EDITABLE!F404</f>
        <v>K5015</v>
      </c>
      <c r="G375" s="5" t="str">
        <f>+EDITABLE!G404</f>
        <v>K50151110000420</v>
      </c>
      <c r="H375" s="3" t="str">
        <f>+EDITABLE!H404</f>
        <v>BODEGA GRANDE</v>
      </c>
      <c r="I375" s="3" t="str">
        <f>+EDITABLE!I404</f>
        <v>BUENO</v>
      </c>
      <c r="J375" s="3" t="str">
        <f>+EDITABLE!J404</f>
        <v>ALAMBRICO, HERGONÓMICO, VARIOS USOS, CONECTOR USB</v>
      </c>
      <c r="K375" s="2">
        <f>+EDITABLE!K404</f>
        <v>12</v>
      </c>
      <c r="L375" s="24">
        <f>+EDITABLE!L404</f>
        <v>44292</v>
      </c>
    </row>
    <row r="376" spans="1:13" x14ac:dyDescent="0.25">
      <c r="A376" s="3" t="str">
        <f>CONCATENATE(+EDITABLE!C405," ",H376)</f>
        <v>TECLADO BODEGA GRANDE</v>
      </c>
      <c r="B376" s="3" t="str">
        <f>+EDITABLE!A405</f>
        <v>TECLBODEGA G</v>
      </c>
      <c r="C376" s="6">
        <f>+EDITABLE!B405</f>
        <v>1</v>
      </c>
      <c r="D376" s="3" t="str">
        <f>+EDITABLE!D405</f>
        <v>NEGRO</v>
      </c>
      <c r="E376" s="3" t="str">
        <f>+EDITABLE!E405</f>
        <v>ALTEK</v>
      </c>
      <c r="F376" s="3" t="str">
        <f>+EDITABLE!F405</f>
        <v>S/M</v>
      </c>
      <c r="G376" s="5" t="str">
        <f>+EDITABLE!G405</f>
        <v>6808110701472</v>
      </c>
      <c r="H376" s="3" t="str">
        <f>+EDITABLE!H405</f>
        <v>BODEGA GRANDE</v>
      </c>
      <c r="I376" s="3" t="str">
        <f>+EDITABLE!I405</f>
        <v>BUENO</v>
      </c>
      <c r="J376" s="3" t="str">
        <f>+EDITABLE!J405</f>
        <v>ALAMBRICO, HERGONÓMICO, VARIOS USOS, CONECTOR USB</v>
      </c>
      <c r="K376" s="2">
        <f>+EDITABLE!K405</f>
        <v>12</v>
      </c>
      <c r="L376" s="24">
        <f>+EDITABLE!L405</f>
        <v>44292</v>
      </c>
    </row>
    <row r="377" spans="1:13" x14ac:dyDescent="0.25">
      <c r="A377" s="3" t="str">
        <f>CONCATENATE(+EDITABLE!C406," ",H377)</f>
        <v>TECLADO BODEGA GRANDE</v>
      </c>
      <c r="B377" s="3" t="str">
        <f>+EDITABLE!A406</f>
        <v>TECLBODEGA G</v>
      </c>
      <c r="C377" s="6">
        <f>+EDITABLE!B406</f>
        <v>1</v>
      </c>
      <c r="D377" s="3" t="str">
        <f>+EDITABLE!D406</f>
        <v>NEGRO</v>
      </c>
      <c r="E377" s="3" t="str">
        <f>+EDITABLE!E406</f>
        <v>INS</v>
      </c>
      <c r="F377" s="3" t="str">
        <f>+EDITABLE!F406</f>
        <v>S/M</v>
      </c>
      <c r="G377" s="5" t="str">
        <f>+EDITABLE!G406</f>
        <v>S/S</v>
      </c>
      <c r="H377" s="3" t="str">
        <f>+EDITABLE!H406</f>
        <v>BODEGA GRANDE</v>
      </c>
      <c r="I377" s="3" t="str">
        <f>+EDITABLE!I406</f>
        <v>BUENO</v>
      </c>
      <c r="J377" s="3" t="str">
        <f>+EDITABLE!J406</f>
        <v>ALAMBRICO, HERGONÓMICO, CONECTOR USB, CON TECLADO NUMÉRICO</v>
      </c>
      <c r="K377" s="2">
        <f>+EDITABLE!K406</f>
        <v>12</v>
      </c>
      <c r="L377" s="24">
        <f>+EDITABLE!L406</f>
        <v>44292</v>
      </c>
    </row>
    <row r="378" spans="1:13" x14ac:dyDescent="0.25">
      <c r="A378" s="3" t="str">
        <f>CONCATENATE(+EDITABLE!C407," ",H378)</f>
        <v>TECLADO BODEGA GRANDE</v>
      </c>
      <c r="B378" s="3" t="str">
        <f>+EDITABLE!A407</f>
        <v>TECLBODEGA G</v>
      </c>
      <c r="C378" s="6">
        <f>+EDITABLE!B407</f>
        <v>1</v>
      </c>
      <c r="D378" s="3" t="str">
        <f>+EDITABLE!D407</f>
        <v>NEGRO</v>
      </c>
      <c r="E378" s="3" t="str">
        <f>+EDITABLE!E407</f>
        <v>DELUX</v>
      </c>
      <c r="F378" s="3" t="str">
        <f>+EDITABLE!F407</f>
        <v>K5015</v>
      </c>
      <c r="G378" s="5" t="str">
        <f>+EDITABLE!G407</f>
        <v>K50151110000447</v>
      </c>
      <c r="H378" s="3" t="str">
        <f>+EDITABLE!H407</f>
        <v>BODEGA GRANDE</v>
      </c>
      <c r="I378" s="3" t="str">
        <f>+EDITABLE!I407</f>
        <v>BUENO</v>
      </c>
      <c r="J378" s="3" t="str">
        <f>+EDITABLE!J407</f>
        <v>ALAMBRICO, HERGONÓMICO, VARIOS USOS, CONECTOR USB</v>
      </c>
      <c r="K378" s="2">
        <f>+EDITABLE!K407</f>
        <v>12</v>
      </c>
      <c r="L378" s="24">
        <f>+EDITABLE!L407</f>
        <v>44292</v>
      </c>
    </row>
    <row r="379" spans="1:13" x14ac:dyDescent="0.25">
      <c r="A379" s="3" t="str">
        <f>CONCATENATE(+EDITABLE!C408," ",H379)</f>
        <v>TECLADO BODEGA GRANDE</v>
      </c>
      <c r="B379" s="3" t="str">
        <f>+EDITABLE!A408</f>
        <v>TECLBODEGA G</v>
      </c>
      <c r="C379" s="6">
        <f>+EDITABLE!B408</f>
        <v>1</v>
      </c>
      <c r="D379" s="3" t="str">
        <f>+EDITABLE!D408</f>
        <v>NEGRO/GRIS</v>
      </c>
      <c r="E379" s="3" t="str">
        <f>+EDITABLE!E408</f>
        <v>HAVIT</v>
      </c>
      <c r="F379" s="3" t="str">
        <f>+EDITABLE!F408</f>
        <v>HV-K802M</v>
      </c>
      <c r="G379" s="5" t="str">
        <f>+EDITABLE!G408</f>
        <v>KB11K802KL</v>
      </c>
      <c r="H379" s="3" t="str">
        <f>+EDITABLE!H408</f>
        <v>BODEGA GRANDE</v>
      </c>
      <c r="I379" s="3" t="str">
        <f>+EDITABLE!I408</f>
        <v>BUENO</v>
      </c>
      <c r="J379" s="3" t="str">
        <f>+EDITABLE!J408</f>
        <v>ALAMBRICO, HERGONÓMICO, VARIOS USOS, CONECTOR USB</v>
      </c>
      <c r="K379" s="2">
        <f>+EDITABLE!K408</f>
        <v>12</v>
      </c>
      <c r="L379" s="24">
        <f>+EDITABLE!L408</f>
        <v>44292</v>
      </c>
    </row>
    <row r="380" spans="1:13" x14ac:dyDescent="0.25">
      <c r="A380" s="3" t="str">
        <f>CONCATENATE(+EDITABLE!C409," ",H380)</f>
        <v>MOUSE BODEGA GRANDE</v>
      </c>
      <c r="B380" s="3" t="str">
        <f>+EDITABLE!A409</f>
        <v>MOUSBODEGA G</v>
      </c>
      <c r="C380" s="6">
        <f>+EDITABLE!B409</f>
        <v>2</v>
      </c>
      <c r="D380" s="3" t="str">
        <f>+EDITABLE!D409</f>
        <v>NEGRO</v>
      </c>
      <c r="E380" s="3" t="str">
        <f>+EDITABLE!E409</f>
        <v>GENIUS</v>
      </c>
      <c r="F380" s="3" t="str">
        <f>+EDITABLE!F409</f>
        <v>GB-080025</v>
      </c>
      <c r="G380" s="5" t="str">
        <f>+EDITABLE!G409</f>
        <v>X74919101105</v>
      </c>
      <c r="H380" s="3" t="str">
        <f>+EDITABLE!H409</f>
        <v>BODEGA GRANDE</v>
      </c>
      <c r="I380" s="3" t="str">
        <f>+EDITABLE!I409</f>
        <v>BUENO</v>
      </c>
      <c r="J380" s="3" t="str">
        <f>+EDITABLE!J409</f>
        <v>ALAMBRICO, LED, DISEÑO ERGONÓMICO</v>
      </c>
      <c r="K380" s="2">
        <f>+EDITABLE!K409</f>
        <v>6</v>
      </c>
      <c r="L380" s="24">
        <f>+EDITABLE!L409</f>
        <v>44292</v>
      </c>
    </row>
    <row r="381" spans="1:13" x14ac:dyDescent="0.25">
      <c r="A381" s="3" t="str">
        <f>CONCATENATE(+EDITABLE!C424," ",H381)</f>
        <v>PANTALLAS PARA PROYECTOR BODEGA GRANDE</v>
      </c>
      <c r="B381" s="3" t="str">
        <f>+EDITABLE!A424</f>
        <v>PANTBODEGA G</v>
      </c>
      <c r="C381" s="6">
        <f>+EDITABLE!B424</f>
        <v>2</v>
      </c>
      <c r="D381" s="3" t="str">
        <f>+EDITABLE!D424</f>
        <v>BLANCO</v>
      </c>
      <c r="E381" s="3" t="str">
        <f>+EDITABLE!E424</f>
        <v>VEGA</v>
      </c>
      <c r="F381" s="3" t="str">
        <f>+EDITABLE!F424</f>
        <v>S/M</v>
      </c>
      <c r="G381" s="5" t="str">
        <f>+EDITABLE!G424</f>
        <v>03872915</v>
      </c>
      <c r="H381" s="3" t="str">
        <f>+EDITABLE!H424</f>
        <v>BODEGA GRANDE</v>
      </c>
      <c r="I381" s="3" t="str">
        <f>+EDITABLE!I424</f>
        <v>BUENO</v>
      </c>
      <c r="J381" s="3" t="str">
        <f>+EDITABLE!J424</f>
        <v>PANTALLA PLEGABLE DE 120 PULGADAS</v>
      </c>
      <c r="K381" s="2">
        <f>+EDITABLE!K410</f>
        <v>5</v>
      </c>
      <c r="L381" s="24">
        <f>+EDITABLE!L424</f>
        <v>44292</v>
      </c>
    </row>
    <row r="382" spans="1:13" x14ac:dyDescent="0.25">
      <c r="A382" s="3" t="str">
        <f>CONCATENATE(+EDITABLE!C425," ",H382)</f>
        <v>PANTALLAS PARA PROYECTOR BODEGA GRANDE</v>
      </c>
      <c r="B382" s="3" t="str">
        <f>+EDITABLE!A425</f>
        <v>PANTBODEGA G</v>
      </c>
      <c r="C382" s="6">
        <f>+EDITABLE!B425</f>
        <v>1</v>
      </c>
      <c r="D382" s="3" t="str">
        <f>+EDITABLE!D425</f>
        <v>BLANCO</v>
      </c>
      <c r="E382" s="3" t="str">
        <f>+EDITABLE!E425</f>
        <v>DINON</v>
      </c>
      <c r="F382" s="3" t="str">
        <f>+EDITABLE!F425</f>
        <v>S/M</v>
      </c>
      <c r="G382" s="5" t="str">
        <f>+EDITABLE!G425</f>
        <v>YM381238</v>
      </c>
      <c r="H382" s="3" t="str">
        <f>+EDITABLE!H425</f>
        <v>BODEGA GRANDE</v>
      </c>
      <c r="I382" s="3" t="str">
        <f>+EDITABLE!I425</f>
        <v>BUENO</v>
      </c>
      <c r="J382" s="3" t="str">
        <f>+EDITABLE!J425</f>
        <v>PANTALLA PLEGABLE DE 40 PULGADAS</v>
      </c>
      <c r="K382" s="2">
        <f>+EDITABLE!K411</f>
        <v>10</v>
      </c>
      <c r="L382" s="24">
        <f>+EDITABLE!L425</f>
        <v>44292</v>
      </c>
    </row>
    <row r="383" spans="1:13" x14ac:dyDescent="0.25">
      <c r="A383" s="3" t="str">
        <f>CONCATENATE(+EDITABLE!C426," ",H383)</f>
        <v>CABLES DE RED  BODEGA GRANDE</v>
      </c>
      <c r="B383" s="3" t="str">
        <f>+EDITABLE!A426</f>
        <v>CABLBODEGA G</v>
      </c>
      <c r="C383" s="6">
        <f>+EDITABLE!B426</f>
        <v>3</v>
      </c>
      <c r="D383" s="3" t="str">
        <f>+EDITABLE!D426</f>
        <v>NEGRO/GRIS/AZUL</v>
      </c>
      <c r="E383" s="3" t="str">
        <f>+EDITABLE!E426</f>
        <v>S/M</v>
      </c>
      <c r="F383" s="3" t="str">
        <f>+EDITABLE!F426</f>
        <v>S/M</v>
      </c>
      <c r="G383" s="5" t="str">
        <f>+EDITABLE!G426</f>
        <v>S/S</v>
      </c>
      <c r="H383" s="3" t="str">
        <f>+EDITABLE!H426</f>
        <v>BODEGA GRANDE</v>
      </c>
      <c r="I383" s="3" t="str">
        <f>+EDITABLE!I426</f>
        <v>BUENO</v>
      </c>
      <c r="J383" s="3" t="str">
        <f>+EDITABLE!J426</f>
        <v>CON PUERTOS RJ45 DE 20 METROS</v>
      </c>
      <c r="K383" s="2">
        <f>+EDITABLE!K412</f>
        <v>10</v>
      </c>
      <c r="L383" s="24">
        <f>+EDITABLE!L426</f>
        <v>44292</v>
      </c>
    </row>
    <row r="384" spans="1:13" x14ac:dyDescent="0.25">
      <c r="A384" s="3" t="str">
        <f>CONCATENATE(+EDITABLE!C427," ",H384)</f>
        <v>CABLE DE RED BODEGA GRANDE</v>
      </c>
      <c r="B384" s="3" t="str">
        <f>+EDITABLE!A427</f>
        <v>CABLBODEGA G</v>
      </c>
      <c r="C384" s="6">
        <f>+EDITABLE!B427</f>
        <v>1</v>
      </c>
      <c r="D384" s="3" t="str">
        <f>+EDITABLE!D427</f>
        <v>BLANCO</v>
      </c>
      <c r="E384" s="3" t="str">
        <f>+EDITABLE!E427</f>
        <v>S/M</v>
      </c>
      <c r="F384" s="3" t="str">
        <f>+EDITABLE!F427</f>
        <v>S/M</v>
      </c>
      <c r="G384" s="5" t="str">
        <f>+EDITABLE!G427</f>
        <v>S/S</v>
      </c>
      <c r="H384" s="3" t="str">
        <f>+EDITABLE!H427</f>
        <v>BODEGA GRANDE</v>
      </c>
      <c r="I384" s="3" t="str">
        <f>+EDITABLE!I427</f>
        <v>BUENO</v>
      </c>
      <c r="J384" s="3" t="str">
        <f>+EDITABLE!J427</f>
        <v>CON PUERTOS RJ45 DE 5 METROS</v>
      </c>
      <c r="K384" s="2">
        <f>+EDITABLE!K413</f>
        <v>20</v>
      </c>
      <c r="L384" s="24">
        <f>+EDITABLE!L427</f>
        <v>44292</v>
      </c>
    </row>
    <row r="385" spans="1:12" x14ac:dyDescent="0.25">
      <c r="A385" s="3" t="str">
        <f>CONCATENATE(+EDITABLE!C428," ",H385)</f>
        <v>CABLES VGA BODEGA GRANDE</v>
      </c>
      <c r="B385" s="3" t="str">
        <f>+EDITABLE!A428</f>
        <v>CABLBODEGA G</v>
      </c>
      <c r="C385" s="6">
        <f>+EDITABLE!B428</f>
        <v>5</v>
      </c>
      <c r="D385" s="3" t="str">
        <f>+EDITABLE!D428</f>
        <v>NEGRO AZUL</v>
      </c>
      <c r="E385" s="3" t="str">
        <f>+EDITABLE!E428</f>
        <v>S/M</v>
      </c>
      <c r="F385" s="3" t="str">
        <f>+EDITABLE!F428</f>
        <v>S/M</v>
      </c>
      <c r="G385" s="5" t="str">
        <f>+EDITABLE!G428</f>
        <v>S/S</v>
      </c>
      <c r="H385" s="3" t="str">
        <f>+EDITABLE!H428</f>
        <v>BODEGA GRANDE</v>
      </c>
      <c r="I385" s="3" t="str">
        <f>+EDITABLE!I428</f>
        <v>BUENO</v>
      </c>
      <c r="J385" s="3" t="str">
        <f>+EDITABLE!J428</f>
        <v>CON PUERTOS VGA DE 1.5 METROS</v>
      </c>
      <c r="K385" s="2">
        <f>+EDITABLE!K414</f>
        <v>10</v>
      </c>
      <c r="L385" s="24">
        <f>+EDITABLE!L428</f>
        <v>44841</v>
      </c>
    </row>
    <row r="386" spans="1:12" x14ac:dyDescent="0.25">
      <c r="A386" s="3" t="str">
        <f>CONCATENATE(+EDITABLE!C429," ",H386)</f>
        <v>CABLES VGA BODEGA GRANDE</v>
      </c>
      <c r="B386" s="3" t="str">
        <f>+EDITABLE!A429</f>
        <v>CABLBODEGA G</v>
      </c>
      <c r="C386" s="6">
        <f>+EDITABLE!B429</f>
        <v>3</v>
      </c>
      <c r="D386" s="3" t="str">
        <f>+EDITABLE!D429</f>
        <v>NEGRO</v>
      </c>
      <c r="E386" s="3" t="str">
        <f>+EDITABLE!E429</f>
        <v>S/M</v>
      </c>
      <c r="F386" s="3" t="str">
        <f>+EDITABLE!F429</f>
        <v>S/M</v>
      </c>
      <c r="G386" s="5" t="str">
        <f>+EDITABLE!G429</f>
        <v>S/S</v>
      </c>
      <c r="H386" s="3" t="str">
        <f>+EDITABLE!H429</f>
        <v>BODEGA GRANDE</v>
      </c>
      <c r="I386" s="3" t="str">
        <f>+EDITABLE!I429</f>
        <v>BUENO</v>
      </c>
      <c r="J386" s="3" t="str">
        <f>+EDITABLE!J429</f>
        <v>CON PÚERTOS CGA DE 15 METROS</v>
      </c>
      <c r="K386" s="2">
        <f>+EDITABLE!K415</f>
        <v>5</v>
      </c>
      <c r="L386" s="24">
        <f>+EDITABLE!L429</f>
        <v>44841</v>
      </c>
    </row>
    <row r="387" spans="1:12" x14ac:dyDescent="0.25">
      <c r="A387" s="3" t="str">
        <f>CONCATENATE(+EDITABLE!C430," ",H387)</f>
        <v>CABLES HDMI BODEGA GRANDE</v>
      </c>
      <c r="B387" s="3" t="str">
        <f>+EDITABLE!A430</f>
        <v>CABLBODEGA G</v>
      </c>
      <c r="C387" s="6">
        <f>+EDITABLE!B430</f>
        <v>3</v>
      </c>
      <c r="D387" s="3" t="str">
        <f>+EDITABLE!D430</f>
        <v>NEGRO</v>
      </c>
      <c r="E387" s="3" t="str">
        <f>+EDITABLE!E430</f>
        <v>S/M</v>
      </c>
      <c r="F387" s="3" t="str">
        <f>+EDITABLE!F430</f>
        <v>S/M</v>
      </c>
      <c r="G387" s="5" t="str">
        <f>+EDITABLE!G430</f>
        <v>S/S</v>
      </c>
      <c r="H387" s="3" t="str">
        <f>+EDITABLE!H430</f>
        <v>BODEGA GRANDE</v>
      </c>
      <c r="I387" s="3" t="str">
        <f>+EDITABLE!I430</f>
        <v>BUENO</v>
      </c>
      <c r="J387" s="3" t="str">
        <f>+EDITABLE!J430</f>
        <v>CON PUERTOS HDMI DE 1.5 METROS</v>
      </c>
      <c r="K387" s="2">
        <f>+EDITABLE!K416</f>
        <v>6</v>
      </c>
      <c r="L387" s="24">
        <f>+EDITABLE!L430</f>
        <v>44841</v>
      </c>
    </row>
    <row r="388" spans="1:12" x14ac:dyDescent="0.25">
      <c r="A388" s="3" t="str">
        <f>CONCATENATE(+EDITABLE!C431," ",H388)</f>
        <v>CABLE HDMI BODEGA GRANDE</v>
      </c>
      <c r="B388" s="3" t="str">
        <f>+EDITABLE!A431</f>
        <v>CABLBODEGA G</v>
      </c>
      <c r="C388" s="6">
        <f>+EDITABLE!B431</f>
        <v>1</v>
      </c>
      <c r="D388" s="3" t="str">
        <f>+EDITABLE!D431</f>
        <v>NEGRO/ROJO</v>
      </c>
      <c r="E388" s="3" t="str">
        <f>+EDITABLE!E431</f>
        <v>S/M</v>
      </c>
      <c r="F388" s="3" t="str">
        <f>+EDITABLE!F431</f>
        <v>S/M</v>
      </c>
      <c r="G388" s="5" t="str">
        <f>+EDITABLE!G431</f>
        <v>S/S</v>
      </c>
      <c r="H388" s="3" t="str">
        <f>+EDITABLE!H431</f>
        <v>BODEGA GRANDE</v>
      </c>
      <c r="I388" s="3" t="str">
        <f>+EDITABLE!I431</f>
        <v>BUENO</v>
      </c>
      <c r="J388" s="3" t="str">
        <f>+EDITABLE!J431</f>
        <v>CON PUERTOS HDMI DE 15 METROS</v>
      </c>
      <c r="K388" s="2">
        <f>+EDITABLE!K417</f>
        <v>5</v>
      </c>
      <c r="L388" s="24">
        <f>+EDITABLE!L431</f>
        <v>44841</v>
      </c>
    </row>
    <row r="389" spans="1:12" x14ac:dyDescent="0.25">
      <c r="A389" s="3" t="str">
        <f>CONCATENATE(+EDITABLE!C432," ",H389)</f>
        <v>CONVERTIDOR VGA/HDMI BODEGA GRANDE</v>
      </c>
      <c r="B389" s="3" t="str">
        <f>+EDITABLE!A432</f>
        <v>CONVBODEGA G</v>
      </c>
      <c r="C389" s="6">
        <f>+EDITABLE!B432</f>
        <v>1</v>
      </c>
      <c r="D389" s="3" t="str">
        <f>+EDITABLE!D432</f>
        <v>BLANCO</v>
      </c>
      <c r="E389" s="3" t="str">
        <f>+EDITABLE!E432</f>
        <v>MINI</v>
      </c>
      <c r="F389" s="3" t="str">
        <f>+EDITABLE!F432</f>
        <v>S/M</v>
      </c>
      <c r="G389" s="5" t="str">
        <f>+EDITABLE!G432</f>
        <v>S/S</v>
      </c>
      <c r="H389" s="3" t="str">
        <f>+EDITABLE!H432</f>
        <v>BODEGA GRANDE</v>
      </c>
      <c r="I389" s="3" t="str">
        <f>+EDITABLE!I432</f>
        <v>BUENO</v>
      </c>
      <c r="J389" s="3" t="str">
        <f>+EDITABLE!J432</f>
        <v>CONVIERTE LA SEÑAL VGA A HDMI</v>
      </c>
      <c r="K389" s="2">
        <f>+EDITABLE!K418</f>
        <v>20</v>
      </c>
      <c r="L389" s="24">
        <f>+EDITABLE!L432</f>
        <v>44841</v>
      </c>
    </row>
    <row r="390" spans="1:12" x14ac:dyDescent="0.25">
      <c r="A390" s="3" t="str">
        <f>CONCATENATE(+EDITABLE!C433," ",H390)</f>
        <v>CABLES DE PODER BODEGA GRANDE</v>
      </c>
      <c r="B390" s="3" t="str">
        <f>+EDITABLE!A433</f>
        <v>CABLBODEGA G</v>
      </c>
      <c r="C390" s="6">
        <f>+EDITABLE!B433</f>
        <v>5</v>
      </c>
      <c r="D390" s="3" t="str">
        <f>+EDITABLE!D433</f>
        <v>NEGRO</v>
      </c>
      <c r="E390" s="3" t="str">
        <f>+EDITABLE!E433</f>
        <v>S/M</v>
      </c>
      <c r="F390" s="3" t="str">
        <f>+EDITABLE!F433</f>
        <v>S/M</v>
      </c>
      <c r="G390" s="5" t="str">
        <f>+EDITABLE!G433</f>
        <v>S/S</v>
      </c>
      <c r="H390" s="3" t="str">
        <f>+EDITABLE!H433</f>
        <v>BODEGA GRANDE</v>
      </c>
      <c r="I390" s="3" t="str">
        <f>+EDITABLE!I433</f>
        <v>BUENO</v>
      </c>
      <c r="J390" s="3" t="str">
        <f>+EDITABLE!J433</f>
        <v>CABLES DE ENERGIA PARA PC DE 1.5 METROS</v>
      </c>
      <c r="K390" s="2">
        <f>+EDITABLE!K419</f>
        <v>7.5</v>
      </c>
      <c r="L390" s="24">
        <f>+EDITABLE!L433</f>
        <v>44841</v>
      </c>
    </row>
    <row r="391" spans="1:12" x14ac:dyDescent="0.25">
      <c r="A391" s="3" t="str">
        <f>CONCATENATE(+EDITABLE!C434," ",H391)</f>
        <v>CABLES DE ENERGIA GEMELO BODEGA GRANDE</v>
      </c>
      <c r="B391" s="3" t="str">
        <f>+EDITABLE!A434</f>
        <v>CABLBODEGA G</v>
      </c>
      <c r="C391" s="6">
        <f>+EDITABLE!B434</f>
        <v>2</v>
      </c>
      <c r="D391" s="3" t="str">
        <f>+EDITABLE!D434</f>
        <v>NEGRO</v>
      </c>
      <c r="E391" s="3" t="str">
        <f>+EDITABLE!E434</f>
        <v>S/M</v>
      </c>
      <c r="F391" s="3" t="str">
        <f>+EDITABLE!F434</f>
        <v>S/M</v>
      </c>
      <c r="G391" s="5" t="str">
        <f>+EDITABLE!G434</f>
        <v>S/S</v>
      </c>
      <c r="H391" s="3" t="str">
        <f>+EDITABLE!H434</f>
        <v>BODEGA GRANDE</v>
      </c>
      <c r="I391" s="3" t="str">
        <f>+EDITABLE!I434</f>
        <v>BUENO</v>
      </c>
      <c r="J391" s="3" t="str">
        <f>+EDITABLE!J434</f>
        <v>CABLES DE ENERGIA DE 1.5 METROS</v>
      </c>
      <c r="K391" s="2">
        <f>+EDITABLE!K420</f>
        <v>40</v>
      </c>
      <c r="L391" s="24">
        <f>+EDITABLE!L434</f>
        <v>44292</v>
      </c>
    </row>
    <row r="392" spans="1:12" x14ac:dyDescent="0.25">
      <c r="A392" s="3" t="str">
        <f>CONCATENATE(+EDITABLE!C435," ",H392)</f>
        <v>CABLE DE SONIDO BODEGA GRANDE</v>
      </c>
      <c r="B392" s="3" t="str">
        <f>+EDITABLE!A435</f>
        <v>CABLBODEGA G</v>
      </c>
      <c r="C392" s="6">
        <f>+EDITABLE!B435</f>
        <v>1</v>
      </c>
      <c r="D392" s="3" t="str">
        <f>+EDITABLE!D435</f>
        <v xml:space="preserve">TRANSPARENTE </v>
      </c>
      <c r="E392" s="3" t="str">
        <f>+EDITABLE!E435</f>
        <v>S/M</v>
      </c>
      <c r="F392" s="3" t="str">
        <f>+EDITABLE!F435</f>
        <v>S/M</v>
      </c>
      <c r="G392" s="5" t="str">
        <f>+EDITABLE!G435</f>
        <v>S/S</v>
      </c>
      <c r="H392" s="3" t="str">
        <f>+EDITABLE!H435</f>
        <v>BODEGA GRANDE</v>
      </c>
      <c r="I392" s="3" t="str">
        <f>+EDITABLE!I435</f>
        <v>BUENO</v>
      </c>
      <c r="J392" s="3" t="str">
        <f>+EDITABLE!J435</f>
        <v>CABLE DE SONIDO PARA PARLANTES</v>
      </c>
      <c r="K392" s="2">
        <f>+EDITABLE!K421</f>
        <v>50</v>
      </c>
      <c r="L392" s="24">
        <f>+EDITABLE!L435</f>
        <v>44841</v>
      </c>
    </row>
    <row r="393" spans="1:12" x14ac:dyDescent="0.25">
      <c r="A393" s="3" t="str">
        <f>CONCATENATE(+EDITABLE!C436," ",H393)</f>
        <v>CABLE DE RED UTP BODEGA GRANDE</v>
      </c>
      <c r="B393" s="3" t="str">
        <f>+EDITABLE!A436</f>
        <v>CABLBODEGA G</v>
      </c>
      <c r="C393" s="6">
        <f>+EDITABLE!B436</f>
        <v>1</v>
      </c>
      <c r="D393" s="3" t="str">
        <f>+EDITABLE!D436</f>
        <v>NEGRO</v>
      </c>
      <c r="E393" s="3" t="str">
        <f>+EDITABLE!E436</f>
        <v>S/M</v>
      </c>
      <c r="F393" s="3" t="str">
        <f>+EDITABLE!F436</f>
        <v>S/M</v>
      </c>
      <c r="G393" s="5" t="str">
        <f>+EDITABLE!G436</f>
        <v>S/S</v>
      </c>
      <c r="H393" s="3" t="str">
        <f>+EDITABLE!H436</f>
        <v>BODEGA GRANDE</v>
      </c>
      <c r="I393" s="3" t="str">
        <f>+EDITABLE!I436</f>
        <v>BUENO</v>
      </c>
      <c r="J393" s="3" t="str">
        <f>+EDITABLE!J436</f>
        <v>CABLE DE RED UTP PARA CONECCIÓN A INTERNET</v>
      </c>
      <c r="K393" s="2">
        <f>+EDITABLE!K422</f>
        <v>5</v>
      </c>
      <c r="L393" s="24">
        <f>+EDITABLE!L436</f>
        <v>44292</v>
      </c>
    </row>
    <row r="394" spans="1:12" x14ac:dyDescent="0.25">
      <c r="A394" s="3" t="str">
        <f>CONCATENATE(+EDITABLE!C437," ",H394)</f>
        <v>CABLE DE DATOS IMPRESORA BODEGA GRANDE</v>
      </c>
      <c r="B394" s="3" t="str">
        <f>+EDITABLE!A437</f>
        <v>CABLBODEGA G</v>
      </c>
      <c r="C394" s="6">
        <f>+EDITABLE!B437</f>
        <v>4</v>
      </c>
      <c r="D394" s="3" t="str">
        <f>+EDITABLE!D437</f>
        <v>BLANCO</v>
      </c>
      <c r="E394" s="3" t="str">
        <f>+EDITABLE!E437</f>
        <v>S/M</v>
      </c>
      <c r="F394" s="3" t="str">
        <f>+EDITABLE!F437</f>
        <v>S/M</v>
      </c>
      <c r="G394" s="5" t="str">
        <f>+EDITABLE!G437</f>
        <v>S/S</v>
      </c>
      <c r="H394" s="3" t="str">
        <f>+EDITABLE!H437</f>
        <v>BODEGA GRANDE</v>
      </c>
      <c r="I394" s="3" t="str">
        <f>+EDITABLE!I437</f>
        <v>BUENO</v>
      </c>
      <c r="J394" s="3" t="str">
        <f>+EDITABLE!J437</f>
        <v>CONECTIVIDAD DEL PC CON LA IMPRESORA</v>
      </c>
      <c r="K394" s="2">
        <f>+EDITABLE!K423</f>
        <v>15</v>
      </c>
      <c r="L394" s="24">
        <f>+EDITABLE!L437</f>
        <v>44292</v>
      </c>
    </row>
    <row r="395" spans="1:12" x14ac:dyDescent="0.25">
      <c r="A395" s="3" t="str">
        <f>CONCATENATE(+EDITABLE!C438," ",H395)</f>
        <v>REGULADOR DE VOLTAJE BODEGA GRANDE</v>
      </c>
      <c r="B395" s="3" t="str">
        <f>+EDITABLE!A438</f>
        <v>REGUBODEGA G</v>
      </c>
      <c r="C395" s="6">
        <f>+EDITABLE!B438</f>
        <v>1</v>
      </c>
      <c r="D395" s="3" t="str">
        <f>+EDITABLE!D438</f>
        <v>NEGRO</v>
      </c>
      <c r="E395" s="3" t="str">
        <f>+EDITABLE!E438</f>
        <v>FORZA</v>
      </c>
      <c r="F395" s="3" t="str">
        <f>+EDITABLE!F438</f>
        <v>FVR-1221USB</v>
      </c>
      <c r="G395" s="5" t="str">
        <f>+EDITABLE!G438</f>
        <v>2405-18637791</v>
      </c>
      <c r="H395" s="3" t="str">
        <f>+EDITABLE!H438</f>
        <v>BODEGA GRANDE</v>
      </c>
      <c r="I395" s="3" t="str">
        <f>+EDITABLE!I438</f>
        <v>BUENO</v>
      </c>
      <c r="J395" s="3" t="str">
        <f>+EDITABLE!J438</f>
        <v>DE 8 TOMAS Y 2 DE USB</v>
      </c>
      <c r="K395" s="2">
        <f>+EDITABLE!K424</f>
        <v>65.73</v>
      </c>
      <c r="L395" s="24">
        <f>+EDITABLE!L438</f>
        <v>44292</v>
      </c>
    </row>
    <row r="396" spans="1:12" x14ac:dyDescent="0.25">
      <c r="A396" s="3" t="str">
        <f>CONCATENATE(+EDITABLE!C439," ",H396)</f>
        <v>PROYECTOR BODEGA GRANDE</v>
      </c>
      <c r="B396" s="3" t="str">
        <f>+EDITABLE!A439</f>
        <v>PROYBODEGA G</v>
      </c>
      <c r="C396" s="6">
        <f>+EDITABLE!B439</f>
        <v>1</v>
      </c>
      <c r="D396" s="3" t="str">
        <f>+EDITABLE!D439</f>
        <v>NEGRO</v>
      </c>
      <c r="E396" s="3" t="str">
        <f>+EDITABLE!E439</f>
        <v>EPSON</v>
      </c>
      <c r="F396" s="3" t="str">
        <f>+EDITABLE!F439</f>
        <v>POWERLITE S18+</v>
      </c>
      <c r="G396" s="5" t="str">
        <f>+EDITABLE!G439</f>
        <v>H552A</v>
      </c>
      <c r="H396" s="3" t="str">
        <f>+EDITABLE!H439</f>
        <v>BODEGA GRANDE</v>
      </c>
      <c r="I396" s="3" t="str">
        <f>+EDITABLE!I439</f>
        <v>BUENO</v>
      </c>
      <c r="J396" s="3" t="str">
        <f>+EDITABLE!J439</f>
        <v>CONECCIÓN VGA Y HDMI</v>
      </c>
      <c r="K396" s="2">
        <f>+EDITABLE!K425</f>
        <v>29.47</v>
      </c>
      <c r="L396" s="24">
        <f>+EDITABLE!L439</f>
        <v>45288</v>
      </c>
    </row>
    <row r="397" spans="1:12" x14ac:dyDescent="0.25">
      <c r="A397" s="3" t="str">
        <f>CONCATENATE(+EDITABLE!C440," ",H397)</f>
        <v xml:space="preserve"> 0</v>
      </c>
      <c r="B397" s="3" t="str">
        <f>+EDITABLE!A440</f>
        <v/>
      </c>
      <c r="C397" s="6">
        <f>+EDITABLE!B440</f>
        <v>0</v>
      </c>
      <c r="D397" s="3">
        <f>+EDITABLE!D440</f>
        <v>0</v>
      </c>
      <c r="E397" s="3">
        <f>+EDITABLE!E440</f>
        <v>0</v>
      </c>
      <c r="F397" s="3">
        <f>+EDITABLE!F440</f>
        <v>0</v>
      </c>
      <c r="G397" s="5">
        <f>+EDITABLE!G440</f>
        <v>0</v>
      </c>
      <c r="H397" s="3">
        <f>+EDITABLE!H440</f>
        <v>0</v>
      </c>
      <c r="I397" s="3">
        <f>+EDITABLE!I440</f>
        <v>0</v>
      </c>
      <c r="J397" s="3">
        <f>+EDITABLE!J440</f>
        <v>0</v>
      </c>
      <c r="K397" s="2">
        <f>+EDITABLE!K440</f>
        <v>0</v>
      </c>
      <c r="L397" s="24">
        <f>+EDITABLE!L440</f>
        <v>0</v>
      </c>
    </row>
    <row r="398" spans="1:12" x14ac:dyDescent="0.25">
      <c r="A398" s="3"/>
      <c r="B398" s="3"/>
      <c r="C398" s="6"/>
      <c r="D398" s="3"/>
      <c r="E398" s="3"/>
      <c r="F398" s="3"/>
      <c r="G398" s="5"/>
      <c r="H398" s="3"/>
      <c r="I398" s="3"/>
      <c r="J398" s="3"/>
      <c r="K398" s="2"/>
      <c r="L398" s="24"/>
    </row>
    <row r="399" spans="1:12" x14ac:dyDescent="0.25">
      <c r="A399" s="3"/>
      <c r="B399" s="3"/>
      <c r="C399" s="6"/>
      <c r="D399" s="3"/>
      <c r="E399" s="3"/>
      <c r="F399" s="3"/>
      <c r="G399" s="5"/>
      <c r="H399" s="3"/>
      <c r="I399" s="3"/>
      <c r="J399" s="3"/>
      <c r="K399" s="2"/>
      <c r="L399" s="24"/>
    </row>
    <row r="400" spans="1:12" x14ac:dyDescent="0.25">
      <c r="A400" s="3"/>
      <c r="B400" s="3"/>
      <c r="C400" s="6"/>
      <c r="D400" s="3"/>
      <c r="E400" s="3"/>
      <c r="F400" s="3"/>
      <c r="G400" s="5"/>
      <c r="H400" s="3"/>
      <c r="I400" s="3"/>
      <c r="J400" s="3"/>
      <c r="K400" s="2"/>
      <c r="L400" s="24"/>
    </row>
    <row r="401" spans="1:12" x14ac:dyDescent="0.25">
      <c r="A401" s="3"/>
      <c r="B401" s="3"/>
      <c r="C401" s="6"/>
      <c r="D401" s="3"/>
      <c r="E401" s="3"/>
      <c r="F401" s="3"/>
      <c r="G401" s="5"/>
      <c r="H401" s="3"/>
      <c r="I401" s="3"/>
      <c r="J401" s="3"/>
      <c r="K401" s="2"/>
      <c r="L401" s="24"/>
    </row>
    <row r="402" spans="1:12" x14ac:dyDescent="0.25">
      <c r="A402" s="3"/>
      <c r="B402" s="3"/>
      <c r="C402" s="6"/>
      <c r="D402" s="3"/>
      <c r="E402" s="3"/>
      <c r="F402" s="3"/>
      <c r="G402" s="5"/>
      <c r="H402" s="3"/>
      <c r="I402" s="3"/>
      <c r="J402" s="3"/>
      <c r="K402" s="2"/>
      <c r="L402" s="24"/>
    </row>
    <row r="403" spans="1:12" x14ac:dyDescent="0.25">
      <c r="A403" s="3"/>
      <c r="B403" s="3"/>
      <c r="C403" s="6"/>
      <c r="D403" s="3"/>
      <c r="E403" s="3"/>
      <c r="F403" s="3"/>
      <c r="G403" s="5"/>
      <c r="H403" s="3"/>
      <c r="I403" s="3"/>
      <c r="J403" s="3"/>
      <c r="K403" s="2"/>
      <c r="L403" s="24"/>
    </row>
    <row r="404" spans="1:12" x14ac:dyDescent="0.25">
      <c r="A404" s="3"/>
      <c r="B404" s="3"/>
      <c r="C404" s="6"/>
      <c r="D404" s="3"/>
      <c r="E404" s="3"/>
      <c r="F404" s="3"/>
      <c r="G404" s="5"/>
      <c r="H404" s="3"/>
      <c r="I404" s="3"/>
      <c r="J404" s="3"/>
      <c r="K404" s="2"/>
      <c r="L404" s="24"/>
    </row>
    <row r="405" spans="1:12" x14ac:dyDescent="0.25">
      <c r="A405" s="3"/>
      <c r="B405" s="3"/>
      <c r="C405" s="6"/>
      <c r="D405" s="3"/>
      <c r="E405" s="3"/>
      <c r="F405" s="3"/>
      <c r="G405" s="5"/>
      <c r="H405" s="3"/>
      <c r="I405" s="3"/>
      <c r="J405" s="3"/>
      <c r="K405" s="2"/>
      <c r="L405" s="24"/>
    </row>
    <row r="406" spans="1:12" x14ac:dyDescent="0.25">
      <c r="A406" s="3"/>
      <c r="B406" s="3"/>
      <c r="C406" s="6"/>
      <c r="D406" s="3"/>
      <c r="E406" s="3"/>
      <c r="F406" s="3"/>
      <c r="G406" s="5"/>
      <c r="H406" s="3"/>
      <c r="I406" s="3"/>
      <c r="J406" s="3"/>
      <c r="K406" s="2"/>
      <c r="L406" s="24"/>
    </row>
    <row r="407" spans="1:12" x14ac:dyDescent="0.25">
      <c r="A407" s="3"/>
      <c r="B407" s="3"/>
      <c r="C407" s="6"/>
      <c r="D407" s="3"/>
      <c r="E407" s="3"/>
      <c r="F407" s="3"/>
      <c r="G407" s="5"/>
      <c r="H407" s="3"/>
      <c r="I407" s="3"/>
      <c r="J407" s="3"/>
      <c r="K407" s="2"/>
      <c r="L407" s="24"/>
    </row>
    <row r="408" spans="1:12" x14ac:dyDescent="0.25">
      <c r="A408" s="3"/>
      <c r="B408" s="3"/>
      <c r="C408" s="6"/>
      <c r="D408" s="3"/>
      <c r="E408" s="3"/>
      <c r="F408" s="3"/>
      <c r="G408" s="5"/>
      <c r="H408" s="3"/>
      <c r="I408" s="3"/>
      <c r="J408" s="3"/>
      <c r="K408" s="2"/>
      <c r="L408" s="24"/>
    </row>
    <row r="409" spans="1:12" x14ac:dyDescent="0.25">
      <c r="A409" s="3"/>
      <c r="B409" s="3"/>
      <c r="C409" s="6"/>
      <c r="D409" s="3"/>
      <c r="E409" s="3"/>
      <c r="F409" s="3"/>
      <c r="G409" s="5"/>
      <c r="H409" s="3"/>
      <c r="I409" s="3"/>
      <c r="J409" s="3"/>
      <c r="K409" s="2"/>
      <c r="L409" s="24"/>
    </row>
    <row r="410" spans="1:12" x14ac:dyDescent="0.25">
      <c r="A410" s="3"/>
      <c r="B410" s="3"/>
      <c r="C410" s="6"/>
      <c r="D410" s="3"/>
      <c r="E410" s="3"/>
      <c r="F410" s="3"/>
      <c r="G410" s="5"/>
      <c r="H410" s="3"/>
      <c r="I410" s="3"/>
      <c r="J410" s="3"/>
      <c r="K410" s="2"/>
      <c r="L410" s="24"/>
    </row>
    <row r="411" spans="1:12" x14ac:dyDescent="0.25">
      <c r="A411" s="3"/>
      <c r="B411" s="3"/>
      <c r="C411" s="6"/>
      <c r="D411" s="3"/>
      <c r="E411" s="3"/>
      <c r="F411" s="3"/>
      <c r="G411" s="5"/>
      <c r="H411" s="3"/>
      <c r="I411" s="3"/>
      <c r="J411" s="3"/>
      <c r="K411" s="2"/>
      <c r="L411" s="24"/>
    </row>
    <row r="412" spans="1:12" x14ac:dyDescent="0.25">
      <c r="A412" s="3"/>
      <c r="B412" s="3"/>
      <c r="C412" s="6"/>
      <c r="D412" s="3"/>
      <c r="E412" s="3"/>
      <c r="F412" s="3"/>
      <c r="G412" s="5"/>
      <c r="H412" s="3"/>
      <c r="I412" s="3"/>
      <c r="J412" s="3"/>
      <c r="K412" s="2"/>
      <c r="L412" s="24"/>
    </row>
    <row r="413" spans="1:12" x14ac:dyDescent="0.25">
      <c r="A413" s="3"/>
      <c r="B413" s="3"/>
      <c r="C413" s="6"/>
      <c r="D413" s="3"/>
      <c r="E413" s="3"/>
      <c r="F413" s="3"/>
      <c r="G413" s="5"/>
      <c r="H413" s="3"/>
      <c r="I413" s="3"/>
      <c r="J413" s="3"/>
      <c r="K413" s="2"/>
      <c r="L413" s="24"/>
    </row>
    <row r="414" spans="1:12" x14ac:dyDescent="0.25">
      <c r="A414" s="3"/>
      <c r="B414" s="3"/>
      <c r="C414" s="6"/>
      <c r="D414" s="3"/>
      <c r="E414" s="3"/>
      <c r="F414" s="3"/>
      <c r="G414" s="5"/>
      <c r="H414" s="3"/>
      <c r="I414" s="3"/>
      <c r="J414" s="3"/>
      <c r="K414" s="2"/>
      <c r="L414" s="24"/>
    </row>
    <row r="415" spans="1:12" x14ac:dyDescent="0.25">
      <c r="A415" s="3"/>
      <c r="B415" s="3"/>
      <c r="C415" s="6"/>
      <c r="D415" s="3"/>
      <c r="E415" s="3"/>
      <c r="F415" s="3"/>
      <c r="G415" s="5"/>
      <c r="H415" s="3"/>
      <c r="I415" s="3"/>
      <c r="J415" s="3"/>
      <c r="K415" s="2"/>
      <c r="L415" s="24"/>
    </row>
    <row r="416" spans="1:12" x14ac:dyDescent="0.25">
      <c r="A416" s="3"/>
      <c r="B416" s="3"/>
      <c r="C416" s="6"/>
      <c r="D416" s="3"/>
      <c r="E416" s="3"/>
      <c r="F416" s="3"/>
      <c r="G416" s="5"/>
      <c r="H416" s="3"/>
      <c r="I416" s="3"/>
      <c r="J416" s="3"/>
      <c r="K416" s="2"/>
      <c r="L416" s="24"/>
    </row>
    <row r="417" spans="1:12" x14ac:dyDescent="0.25">
      <c r="A417" s="3"/>
      <c r="B417" s="3"/>
      <c r="C417" s="6"/>
      <c r="D417" s="3"/>
      <c r="E417" s="3"/>
      <c r="F417" s="3"/>
      <c r="G417" s="5"/>
      <c r="H417" s="3"/>
      <c r="I417" s="3"/>
      <c r="J417" s="3"/>
      <c r="K417" s="2"/>
      <c r="L417" s="24"/>
    </row>
    <row r="418" spans="1:12" x14ac:dyDescent="0.25">
      <c r="A418" s="3"/>
      <c r="B418" s="3"/>
      <c r="C418" s="6"/>
      <c r="D418" s="3"/>
      <c r="E418" s="3"/>
      <c r="F418" s="3"/>
      <c r="G418" s="5"/>
      <c r="H418" s="3"/>
      <c r="I418" s="3"/>
      <c r="J418" s="3"/>
      <c r="K418" s="2"/>
      <c r="L418" s="24"/>
    </row>
    <row r="419" spans="1:12" x14ac:dyDescent="0.25">
      <c r="A419" s="3"/>
      <c r="B419" s="3"/>
      <c r="C419" s="6"/>
      <c r="D419" s="3"/>
      <c r="E419" s="3"/>
      <c r="F419" s="3"/>
      <c r="G419" s="5"/>
      <c r="H419" s="3"/>
      <c r="I419" s="3"/>
      <c r="J419" s="3"/>
      <c r="K419" s="2"/>
      <c r="L419" s="24"/>
    </row>
    <row r="420" spans="1:12" x14ac:dyDescent="0.25">
      <c r="A420" s="3"/>
      <c r="B420" s="3"/>
      <c r="C420" s="6"/>
      <c r="D420" s="3"/>
      <c r="E420" s="3"/>
      <c r="F420" s="3"/>
      <c r="G420" s="5"/>
      <c r="H420" s="3"/>
      <c r="I420" s="3"/>
      <c r="J420" s="3"/>
      <c r="K420" s="2"/>
      <c r="L420" s="2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596A-AB36-4671-9482-696FD3CC6AFF}">
  <dimension ref="A12:M416"/>
  <sheetViews>
    <sheetView topLeftCell="A373" zoomScale="60" zoomScaleNormal="60" workbookViewId="0">
      <selection activeCell="A405" sqref="A405"/>
    </sheetView>
  </sheetViews>
  <sheetFormatPr baseColWidth="10" defaultRowHeight="15" x14ac:dyDescent="0.25"/>
  <cols>
    <col min="1" max="1" width="20.42578125" customWidth="1"/>
    <col min="2" max="2" width="13.42578125" style="1" bestFit="1" customWidth="1"/>
    <col min="3" max="3" width="43.42578125" bestFit="1" customWidth="1"/>
    <col min="6" max="6" width="17.42578125" customWidth="1"/>
    <col min="7" max="7" width="23.28515625" style="4" customWidth="1"/>
    <col min="8" max="8" width="18.5703125" customWidth="1"/>
    <col min="10" max="10" width="37.5703125" customWidth="1"/>
    <col min="12" max="12" width="12" style="20" customWidth="1"/>
  </cols>
  <sheetData>
    <row r="12" spans="1:13" x14ac:dyDescent="0.25">
      <c r="A12" s="11" t="str">
        <f>+EDITABLE!$A$12</f>
        <v>CODIGO</v>
      </c>
      <c r="B12" s="11" t="str">
        <f>+EDITABLE!$B$12</f>
        <v>CANTIDAD</v>
      </c>
      <c r="C12" s="11" t="str">
        <f>+EDITABLE!$C$12</f>
        <v>PRODUCTO</v>
      </c>
      <c r="D12" s="11" t="str">
        <f>+EDITABLE!$D$12</f>
        <v>COLOR</v>
      </c>
      <c r="E12" s="11" t="str">
        <f>+EDITABLE!$E$12</f>
        <v>MARCA</v>
      </c>
      <c r="F12" s="11" t="str">
        <f>+EDITABLE!$F$12</f>
        <v>MODELO</v>
      </c>
      <c r="G12" s="12" t="str">
        <f>+EDITABLE!$G$12</f>
        <v>SERIE</v>
      </c>
      <c r="H12" s="11" t="str">
        <f>+EDITABLE!$H$12</f>
        <v>UBICACIÓN</v>
      </c>
      <c r="I12" s="11" t="str">
        <f>+EDITABLE!$I$12</f>
        <v>ESTADO</v>
      </c>
      <c r="J12" s="11" t="str">
        <f>+EDITABLE!$J$12</f>
        <v>CARACTERISTICAS</v>
      </c>
      <c r="K12" s="11" t="str">
        <f>+EDITABLE!$K$12</f>
        <v>COSTO</v>
      </c>
      <c r="L12" s="26" t="s">
        <v>584</v>
      </c>
    </row>
    <row r="13" spans="1:13" x14ac:dyDescent="0.25">
      <c r="A13" s="3" t="str">
        <f>+EDITABLE!A13</f>
        <v>CPUAULA-C1</v>
      </c>
      <c r="B13" s="6">
        <f>+EDITABLE!B13</f>
        <v>1</v>
      </c>
      <c r="C13" s="3" t="str">
        <f>+EDITABLE!C13</f>
        <v>CPU</v>
      </c>
      <c r="D13" s="3" t="str">
        <f>+EDITABLE!D13</f>
        <v>NEGRO</v>
      </c>
      <c r="E13" s="3" t="str">
        <f>+EDITABLE!E13</f>
        <v>INS</v>
      </c>
      <c r="F13" s="3" t="str">
        <f>+EDITABLE!F13</f>
        <v>GENERICO</v>
      </c>
      <c r="G13" s="5">
        <f>+EDITABLE!G13</f>
        <v>91225062019</v>
      </c>
      <c r="H13" s="3" t="str">
        <f>+EDITABLE!H13</f>
        <v>AULA-C1</v>
      </c>
      <c r="I13" s="3" t="str">
        <f>+EDITABLE!I13</f>
        <v>BUENO</v>
      </c>
      <c r="J13" s="3" t="str">
        <f>+EDITABLE!J13</f>
        <v>WINDOWS 8.1 ENTERPRISE, PROCESADOR: INTEL ® CORE TM i3-9100F CPU, 360 GHZ, RAM 4 GB, 64 BITS, INTERNET ALAMBRICO</v>
      </c>
      <c r="K13" s="2">
        <f>+EDITABLE!K13</f>
        <v>250</v>
      </c>
      <c r="L13" s="24">
        <f>+EDITABLE!L13</f>
        <v>45288</v>
      </c>
      <c r="M13">
        <v>1</v>
      </c>
    </row>
    <row r="14" spans="1:13" x14ac:dyDescent="0.25">
      <c r="A14" s="3" t="str">
        <f>+EDITABLE!A14</f>
        <v>MONIAULA-C1</v>
      </c>
      <c r="B14" s="6">
        <f>+EDITABLE!B14</f>
        <v>1</v>
      </c>
      <c r="C14" s="3" t="str">
        <f>+EDITABLE!C14</f>
        <v>MONITOR</v>
      </c>
      <c r="D14" s="3" t="str">
        <f>+EDITABLE!D14</f>
        <v>NEGRO</v>
      </c>
      <c r="E14" s="3" t="str">
        <f>+EDITABLE!E14</f>
        <v>LG</v>
      </c>
      <c r="F14" s="3" t="str">
        <f>+EDITABLE!F14</f>
        <v>20MK400H-B</v>
      </c>
      <c r="G14" s="5" t="str">
        <f>+EDITABLE!G14</f>
        <v>911NTHM1T121</v>
      </c>
      <c r="H14" s="3" t="str">
        <f>+EDITABLE!H14</f>
        <v>AULA-C1</v>
      </c>
      <c r="I14" s="3" t="str">
        <f>+EDITABLE!I14</f>
        <v>BUENO</v>
      </c>
      <c r="J14" s="3" t="str">
        <f>+EDITABLE!J14</f>
        <v>19,5 PULGADAS, HDMI</v>
      </c>
      <c r="K14" s="2">
        <f>+EDITABLE!K14</f>
        <v>60</v>
      </c>
      <c r="L14" s="24">
        <f>+EDITABLE!L14</f>
        <v>45288</v>
      </c>
    </row>
    <row r="15" spans="1:13" x14ac:dyDescent="0.25">
      <c r="A15" s="3" t="str">
        <f>+EDITABLE!A15</f>
        <v>MOUSAULA-C1</v>
      </c>
      <c r="B15" s="6">
        <f>+EDITABLE!B15</f>
        <v>1</v>
      </c>
      <c r="C15" s="3" t="str">
        <f>+EDITABLE!C15</f>
        <v>MOUSE</v>
      </c>
      <c r="D15" s="3" t="str">
        <f>+EDITABLE!D15</f>
        <v>NEGRO</v>
      </c>
      <c r="E15" s="3" t="str">
        <f>+EDITABLE!E15</f>
        <v>GENERICO</v>
      </c>
      <c r="F15" s="3" t="str">
        <f>+EDITABLE!F15</f>
        <v>5V-100MA</v>
      </c>
      <c r="G15" s="5" t="str">
        <f>+EDITABLE!G15</f>
        <v>S/S</v>
      </c>
      <c r="H15" s="3" t="str">
        <f>+EDITABLE!H15</f>
        <v>AULA-C1</v>
      </c>
      <c r="I15" s="3" t="str">
        <f>+EDITABLE!I15</f>
        <v>BUENO</v>
      </c>
      <c r="J15" s="3" t="str">
        <f>+EDITABLE!J15</f>
        <v>ALAMBRICO, LED</v>
      </c>
      <c r="K15" s="2">
        <f>+EDITABLE!K15</f>
        <v>5</v>
      </c>
      <c r="L15" s="24">
        <f>+EDITABLE!L15</f>
        <v>45288</v>
      </c>
    </row>
    <row r="16" spans="1:13" x14ac:dyDescent="0.25">
      <c r="A16" s="3" t="str">
        <f>+EDITABLE!A16</f>
        <v>TECLAULA-C1</v>
      </c>
      <c r="B16" s="6">
        <f>+EDITABLE!B16</f>
        <v>1</v>
      </c>
      <c r="C16" s="3" t="str">
        <f>+EDITABLE!C16</f>
        <v>TECLADO</v>
      </c>
      <c r="D16" s="3" t="str">
        <f>+EDITABLE!D16</f>
        <v>NEGRO</v>
      </c>
      <c r="E16" s="3" t="str">
        <f>+EDITABLE!E16</f>
        <v>INS</v>
      </c>
      <c r="F16" s="3" t="str">
        <f>+EDITABLE!F16</f>
        <v>S/M</v>
      </c>
      <c r="G16" s="5" t="str">
        <f>+EDITABLE!G16</f>
        <v>S/S</v>
      </c>
      <c r="H16" s="3" t="str">
        <f>+EDITABLE!H16</f>
        <v>AULA-C1</v>
      </c>
      <c r="I16" s="3" t="str">
        <f>+EDITABLE!I16</f>
        <v>BUENO</v>
      </c>
      <c r="J16" s="3" t="str">
        <f>+EDITABLE!J16</f>
        <v>ALAMBRICO, HERGONÓMICO, CONECTOR USB, CON TECLADO NUMÉRICO</v>
      </c>
      <c r="K16" s="2">
        <f>+EDITABLE!K16</f>
        <v>16.7</v>
      </c>
      <c r="L16" s="24">
        <f>+EDITABLE!L16</f>
        <v>45288</v>
      </c>
    </row>
    <row r="17" spans="1:13" x14ac:dyDescent="0.25">
      <c r="A17" s="3" t="str">
        <f>+EDITABLE!A17</f>
        <v>PROYAULA-C1</v>
      </c>
      <c r="B17" s="6">
        <f>+EDITABLE!B17</f>
        <v>1</v>
      </c>
      <c r="C17" s="3" t="str">
        <f>+EDITABLE!C17</f>
        <v>PROYECTOR</v>
      </c>
      <c r="D17" s="3" t="str">
        <f>+EDITABLE!D17</f>
        <v>NEGRO</v>
      </c>
      <c r="E17" s="3" t="str">
        <f>+EDITABLE!E17</f>
        <v>EPSON</v>
      </c>
      <c r="F17" s="3" t="str">
        <f>+EDITABLE!F17</f>
        <v>POWER LITE S12+</v>
      </c>
      <c r="G17" s="5" t="str">
        <f>+EDITABLE!G17</f>
        <v>PSPK3401963</v>
      </c>
      <c r="H17" s="3" t="str">
        <f>+EDITABLE!H17</f>
        <v>AULA-C1</v>
      </c>
      <c r="I17" s="3" t="str">
        <f>+EDITABLE!I17</f>
        <v>BUENO</v>
      </c>
      <c r="J17" s="3" t="str">
        <f>+EDITABLE!J17</f>
        <v>CON PEDESTAL, CABLE VGA DE 15 m. Y CABLE DE ENERGIA</v>
      </c>
      <c r="K17" s="2">
        <f>+EDITABLE!K17</f>
        <v>400</v>
      </c>
      <c r="L17" s="24">
        <f>+EDITABLE!L17</f>
        <v>45288</v>
      </c>
    </row>
    <row r="18" spans="1:13" x14ac:dyDescent="0.25">
      <c r="A18" s="3" t="str">
        <f>+EDITABLE!A18</f>
        <v>PARLAULA-C1</v>
      </c>
      <c r="B18" s="6">
        <f>+EDITABLE!B18</f>
        <v>1</v>
      </c>
      <c r="C18" s="3" t="str">
        <f>+EDITABLE!C18</f>
        <v>PARLANTES</v>
      </c>
      <c r="D18" s="3" t="str">
        <f>+EDITABLE!D18</f>
        <v>NEGRO</v>
      </c>
      <c r="E18" s="3" t="str">
        <f>+EDITABLE!E18</f>
        <v>KLIP EXTREME</v>
      </c>
      <c r="F18" s="3" t="str">
        <f>+EDITABLE!F18</f>
        <v>KSS-710</v>
      </c>
      <c r="G18" s="5" t="str">
        <f>+EDITABLE!G18</f>
        <v>13-11580</v>
      </c>
      <c r="H18" s="3" t="str">
        <f>+EDITABLE!H18</f>
        <v>AULA-C1</v>
      </c>
      <c r="I18" s="3" t="str">
        <f>+EDITABLE!I18</f>
        <v>BUENO</v>
      </c>
      <c r="J18" s="3" t="str">
        <f>+EDITABLE!J18</f>
        <v>CON SOPORTE AEREO, CABLE DE SONIO DE 20 m. Y CABLE DE ENERGIA, 1 BAJO Y 2 TWITERS</v>
      </c>
      <c r="K18" s="2">
        <f>+EDITABLE!K18</f>
        <v>103</v>
      </c>
      <c r="L18" s="24">
        <f>+EDITABLE!L18</f>
        <v>45288</v>
      </c>
    </row>
    <row r="19" spans="1:13" x14ac:dyDescent="0.25">
      <c r="A19" s="3" t="str">
        <f>+EDITABLE!A19</f>
        <v>CAMAAULA-C1</v>
      </c>
      <c r="B19" s="6">
        <f>+EDITABLE!B19</f>
        <v>1</v>
      </c>
      <c r="C19" s="3" t="str">
        <f>+EDITABLE!C19</f>
        <v>CAMARA VIDEO VIGILANCIA</v>
      </c>
      <c r="D19" s="3" t="str">
        <f>+EDITABLE!D19</f>
        <v>BLANCO</v>
      </c>
      <c r="E19" s="3" t="str">
        <f>+EDITABLE!E19</f>
        <v>HIKVISION</v>
      </c>
      <c r="F19" s="3" t="str">
        <f>+EDITABLE!F19</f>
        <v>S/M</v>
      </c>
      <c r="G19" s="5" t="str">
        <f>+EDITABLE!G19</f>
        <v>S/S</v>
      </c>
      <c r="H19" s="3" t="str">
        <f>+EDITABLE!H19</f>
        <v>AULA-C1</v>
      </c>
      <c r="I19" s="3" t="str">
        <f>+EDITABLE!I19</f>
        <v>BUENO</v>
      </c>
      <c r="J19" s="3" t="str">
        <f>+EDITABLE!J19</f>
        <v>CONECTADA AL DVR Y VISION EN MOVIL Y CUARTO DE RED</v>
      </c>
      <c r="K19" s="2">
        <f>+EDITABLE!K19</f>
        <v>25</v>
      </c>
      <c r="L19" s="24">
        <f>+EDITABLE!L19</f>
        <v>44841</v>
      </c>
    </row>
    <row r="20" spans="1:13" x14ac:dyDescent="0.25">
      <c r="A20" s="3" t="str">
        <f>+EDITABLE!A20</f>
        <v>SENSAULA-C1</v>
      </c>
      <c r="B20" s="6">
        <f>+EDITABLE!B20</f>
        <v>1</v>
      </c>
      <c r="C20" s="3" t="str">
        <f>+EDITABLE!C20</f>
        <v>SENSOR DE ALARMA</v>
      </c>
      <c r="D20" s="3" t="str">
        <f>+EDITABLE!D20</f>
        <v>BLANCO</v>
      </c>
      <c r="E20" s="3" t="str">
        <f>+EDITABLE!E20</f>
        <v>DSC</v>
      </c>
      <c r="F20" s="3" t="str">
        <f>+EDITABLE!F20</f>
        <v>LC-100PI</v>
      </c>
      <c r="G20" s="5">
        <f>+EDITABLE!G20</f>
        <v>88030080</v>
      </c>
      <c r="H20" s="3" t="str">
        <f>+EDITABLE!H20</f>
        <v>AULA-C1</v>
      </c>
      <c r="I20" s="3" t="str">
        <f>+EDITABLE!I20</f>
        <v>BUENO</v>
      </c>
      <c r="J20" s="3" t="str">
        <f>+EDITABLE!J20</f>
        <v>CONECTADA AL SISTEMA DE ALARMAS</v>
      </c>
      <c r="K20" s="2">
        <f>+EDITABLE!K20</f>
        <v>20</v>
      </c>
      <c r="L20" s="24">
        <f>+EDITABLE!L20</f>
        <v>44841</v>
      </c>
    </row>
    <row r="21" spans="1:13" x14ac:dyDescent="0.25">
      <c r="A21" s="3" t="str">
        <f>+EDITABLE!A21</f>
        <v/>
      </c>
      <c r="B21" s="6">
        <f>+EDITABLE!B21</f>
        <v>0</v>
      </c>
      <c r="C21" s="3">
        <f>+EDITABLE!C21</f>
        <v>0</v>
      </c>
      <c r="D21" s="3">
        <f>+EDITABLE!D21</f>
        <v>0</v>
      </c>
      <c r="E21" s="3">
        <f>+EDITABLE!E21</f>
        <v>0</v>
      </c>
      <c r="F21" s="3">
        <f>+EDITABLE!F21</f>
        <v>0</v>
      </c>
      <c r="G21" s="5">
        <f>+EDITABLE!G21</f>
        <v>0</v>
      </c>
      <c r="H21" s="3">
        <f>+EDITABLE!H21</f>
        <v>0</v>
      </c>
      <c r="I21" s="3">
        <f>+EDITABLE!I21</f>
        <v>0</v>
      </c>
      <c r="J21" s="3">
        <f>+EDITABLE!J21</f>
        <v>0</v>
      </c>
      <c r="K21" s="2">
        <f>+EDITABLE!K21</f>
        <v>0</v>
      </c>
      <c r="L21" s="24">
        <f>+EDITABLE!L21</f>
        <v>0</v>
      </c>
    </row>
    <row r="22" spans="1:13" x14ac:dyDescent="0.25">
      <c r="A22" s="3" t="str">
        <f>+EDITABLE!A22</f>
        <v/>
      </c>
      <c r="B22" s="6">
        <f>+EDITABLE!B22</f>
        <v>0</v>
      </c>
      <c r="C22" s="3">
        <f>+EDITABLE!C22</f>
        <v>0</v>
      </c>
      <c r="D22" s="3">
        <f>+EDITABLE!D22</f>
        <v>0</v>
      </c>
      <c r="E22" s="3">
        <f>+EDITABLE!E22</f>
        <v>0</v>
      </c>
      <c r="F22" s="3">
        <f>+EDITABLE!F22</f>
        <v>0</v>
      </c>
      <c r="G22" s="5">
        <f>+EDITABLE!G22</f>
        <v>0</v>
      </c>
      <c r="H22" s="3">
        <f>+EDITABLE!H22</f>
        <v>0</v>
      </c>
      <c r="I22" s="3">
        <f>+EDITABLE!I22</f>
        <v>0</v>
      </c>
      <c r="J22" s="3">
        <f>+EDITABLE!J22</f>
        <v>0</v>
      </c>
      <c r="K22" s="2">
        <f>+EDITABLE!K22</f>
        <v>0</v>
      </c>
      <c r="L22" s="24">
        <f>+EDITABLE!L22</f>
        <v>0</v>
      </c>
    </row>
    <row r="23" spans="1:13" ht="16.5" customHeight="1" x14ac:dyDescent="0.25">
      <c r="A23" s="3" t="str">
        <f>+EDITABLE!A23</f>
        <v/>
      </c>
      <c r="B23" s="6">
        <f>+EDITABLE!B23</f>
        <v>0</v>
      </c>
      <c r="C23" s="3">
        <f>+EDITABLE!C23</f>
        <v>0</v>
      </c>
      <c r="D23" s="3">
        <f>+EDITABLE!D23</f>
        <v>0</v>
      </c>
      <c r="E23" s="3">
        <f>+EDITABLE!E23</f>
        <v>0</v>
      </c>
      <c r="F23" s="3">
        <f>+EDITABLE!F23</f>
        <v>0</v>
      </c>
      <c r="G23" s="5">
        <f>+EDITABLE!G23</f>
        <v>0</v>
      </c>
      <c r="H23" s="3">
        <f>+EDITABLE!H23</f>
        <v>0</v>
      </c>
      <c r="I23" s="3">
        <f>+EDITABLE!I23</f>
        <v>0</v>
      </c>
      <c r="J23" s="3">
        <f>+EDITABLE!J23</f>
        <v>0</v>
      </c>
      <c r="K23" s="2">
        <f>+EDITABLE!K23</f>
        <v>0</v>
      </c>
      <c r="L23" s="24">
        <f>+EDITABLE!L23</f>
        <v>0</v>
      </c>
    </row>
    <row r="24" spans="1:13" x14ac:dyDescent="0.25">
      <c r="A24" s="3" t="str">
        <f>+EDITABLE!A25</f>
        <v>CPUAULA-C2</v>
      </c>
      <c r="B24" s="6">
        <f>+EDITABLE!B25</f>
        <v>1</v>
      </c>
      <c r="C24" s="3" t="str">
        <f>+EDITABLE!C25</f>
        <v>CPU</v>
      </c>
      <c r="D24" s="3" t="str">
        <f>+EDITABLE!D25</f>
        <v>NEGRO</v>
      </c>
      <c r="E24" s="3" t="str">
        <f>+EDITABLE!E25</f>
        <v>INS</v>
      </c>
      <c r="F24" s="3" t="str">
        <f>+EDITABLE!F25</f>
        <v>GENERICO</v>
      </c>
      <c r="G24" s="5">
        <f>+EDITABLE!G25</f>
        <v>91225062019</v>
      </c>
      <c r="H24" s="3" t="str">
        <f>+EDITABLE!H25</f>
        <v>AULA-C2</v>
      </c>
      <c r="I24" s="3" t="str">
        <f>+EDITABLE!I25</f>
        <v>BUENO</v>
      </c>
      <c r="J24" s="3" t="str">
        <f>+EDITABLE!J25</f>
        <v>WINDOWS 8.1 ENTERPRISE, PROCESADOR: INTEL ® CORE TM i3-9100F CPU, 360 GHZ, RAM 4 GB, 64 BITS, INTERNET ALAMBRICO</v>
      </c>
      <c r="K24" s="2">
        <f>+EDITABLE!K25</f>
        <v>250</v>
      </c>
      <c r="L24" s="24">
        <f>+EDITABLE!L25</f>
        <v>45288</v>
      </c>
      <c r="M24">
        <v>2</v>
      </c>
    </row>
    <row r="25" spans="1:13" x14ac:dyDescent="0.25">
      <c r="A25" s="3" t="str">
        <f>+EDITABLE!A26</f>
        <v>MONIAULA-C2</v>
      </c>
      <c r="B25" s="6">
        <f>+EDITABLE!B26</f>
        <v>1</v>
      </c>
      <c r="C25" s="3" t="str">
        <f>+EDITABLE!C26</f>
        <v>MONITOR</v>
      </c>
      <c r="D25" s="3" t="str">
        <f>+EDITABLE!D26</f>
        <v>NEGRO</v>
      </c>
      <c r="E25" s="3" t="str">
        <f>+EDITABLE!E26</f>
        <v>LG</v>
      </c>
      <c r="F25" s="3" t="str">
        <f>+EDITABLE!F26</f>
        <v>20MK400H-B</v>
      </c>
      <c r="G25" s="5" t="str">
        <f>+EDITABLE!G26</f>
        <v>911NTNH1S119</v>
      </c>
      <c r="H25" s="3" t="str">
        <f>+EDITABLE!H26</f>
        <v>AULA-C2</v>
      </c>
      <c r="I25" s="3" t="str">
        <f>+EDITABLE!I26</f>
        <v>BUENO</v>
      </c>
      <c r="J25" s="3" t="str">
        <f>+EDITABLE!J26</f>
        <v>19,5 PULGADAS, HDMI</v>
      </c>
      <c r="K25" s="2">
        <f>+EDITABLE!K26</f>
        <v>60</v>
      </c>
      <c r="L25" s="24">
        <f>+EDITABLE!L26</f>
        <v>45288</v>
      </c>
    </row>
    <row r="26" spans="1:13" x14ac:dyDescent="0.25">
      <c r="A26" s="3" t="str">
        <f>+EDITABLE!A27</f>
        <v>MOUSAULA-C2</v>
      </c>
      <c r="B26" s="6">
        <f>+EDITABLE!B27</f>
        <v>1</v>
      </c>
      <c r="C26" s="3" t="str">
        <f>+EDITABLE!C27</f>
        <v>MOUSE</v>
      </c>
      <c r="D26" s="3" t="str">
        <f>+EDITABLE!D27</f>
        <v>NEGRO</v>
      </c>
      <c r="E26" s="3" t="str">
        <f>+EDITABLE!E27</f>
        <v>GENIUS</v>
      </c>
      <c r="F26" s="3" t="str">
        <f>+EDITABLE!F27</f>
        <v>GM-04011P</v>
      </c>
      <c r="G26" s="5" t="str">
        <f>+EDITABLE!G27</f>
        <v>124430707394</v>
      </c>
      <c r="H26" s="3" t="str">
        <f>+EDITABLE!H27</f>
        <v>AULA-C2</v>
      </c>
      <c r="I26" s="3" t="str">
        <f>+EDITABLE!I27</f>
        <v>BUENO</v>
      </c>
      <c r="J26" s="3" t="str">
        <f>+EDITABLE!J27</f>
        <v>ALAMBRICO, LED, DISEÑO ERGONÓMICO</v>
      </c>
      <c r="K26" s="2">
        <f>+EDITABLE!K27</f>
        <v>6</v>
      </c>
      <c r="L26" s="24">
        <f>+EDITABLE!L27</f>
        <v>45288</v>
      </c>
    </row>
    <row r="27" spans="1:13" x14ac:dyDescent="0.25">
      <c r="A27" s="3" t="str">
        <f>+EDITABLE!A28</f>
        <v>TECLAULA-C2</v>
      </c>
      <c r="B27" s="6">
        <f>+EDITABLE!B28</f>
        <v>1</v>
      </c>
      <c r="C27" s="3" t="str">
        <f>+EDITABLE!C28</f>
        <v>TECLADO</v>
      </c>
      <c r="D27" s="3" t="str">
        <f>+EDITABLE!D28</f>
        <v>NEGRO</v>
      </c>
      <c r="E27" s="3" t="str">
        <f>+EDITABLE!E28</f>
        <v>INS</v>
      </c>
      <c r="F27" s="3" t="str">
        <f>+EDITABLE!F28</f>
        <v>S/M</v>
      </c>
      <c r="G27" s="5" t="str">
        <f>+EDITABLE!G28</f>
        <v>S/S</v>
      </c>
      <c r="H27" s="3" t="str">
        <f>+EDITABLE!H28</f>
        <v>AULA-C2</v>
      </c>
      <c r="I27" s="3" t="str">
        <f>+EDITABLE!I28</f>
        <v>BUENO</v>
      </c>
      <c r="J27" s="3" t="str">
        <f>+EDITABLE!J28</f>
        <v>ALAMBRICO, HERGONÓMICO, CONECTOR USB, CON TECLADO NUMÉRICO</v>
      </c>
      <c r="K27" s="2">
        <f>+EDITABLE!K28</f>
        <v>16.7</v>
      </c>
      <c r="L27" s="24">
        <f>+EDITABLE!L28</f>
        <v>45288</v>
      </c>
    </row>
    <row r="28" spans="1:13" x14ac:dyDescent="0.25">
      <c r="A28" s="3" t="str">
        <f>+EDITABLE!A29</f>
        <v>PROYAULA-C2</v>
      </c>
      <c r="B28" s="6">
        <f>+EDITABLE!B29</f>
        <v>1</v>
      </c>
      <c r="C28" s="3" t="str">
        <f>+EDITABLE!C29</f>
        <v>PROYECTOR</v>
      </c>
      <c r="D28" s="3" t="str">
        <f>+EDITABLE!D29</f>
        <v>NEGRO</v>
      </c>
      <c r="E28" s="3" t="str">
        <f>+EDITABLE!E29</f>
        <v>EPSON</v>
      </c>
      <c r="F28" s="3" t="str">
        <f>+EDITABLE!F29</f>
        <v>POWER LITE S12+</v>
      </c>
      <c r="G28" s="5" t="str">
        <f>+EDITABLE!G29</f>
        <v>PSPK3401919</v>
      </c>
      <c r="H28" s="3" t="str">
        <f>+EDITABLE!H29</f>
        <v>AULA-C2</v>
      </c>
      <c r="I28" s="3" t="str">
        <f>+EDITABLE!I29</f>
        <v>BUENO</v>
      </c>
      <c r="J28" s="3" t="str">
        <f>+EDITABLE!J29</f>
        <v>CON PEDESTAL, CABLE VGA DE 15 m. Y CABLE DE ENERGIA</v>
      </c>
      <c r="K28" s="2">
        <f>+EDITABLE!K29</f>
        <v>400</v>
      </c>
      <c r="L28" s="24">
        <f>+EDITABLE!L29</f>
        <v>45288</v>
      </c>
    </row>
    <row r="29" spans="1:13" x14ac:dyDescent="0.25">
      <c r="A29" s="3" t="str">
        <f>+EDITABLE!A30</f>
        <v>PARLAULA-C2</v>
      </c>
      <c r="B29" s="6">
        <f>+EDITABLE!B30</f>
        <v>1</v>
      </c>
      <c r="C29" s="3" t="str">
        <f>+EDITABLE!C30</f>
        <v>PARLANTES</v>
      </c>
      <c r="D29" s="3" t="str">
        <f>+EDITABLE!D30</f>
        <v>NEGRO</v>
      </c>
      <c r="E29" s="3" t="str">
        <f>+EDITABLE!E30</f>
        <v>KLIP EXTREME</v>
      </c>
      <c r="F29" s="3" t="str">
        <f>+EDITABLE!F30</f>
        <v>KSS-710</v>
      </c>
      <c r="G29" s="5" t="str">
        <f>+EDITABLE!G30</f>
        <v>13-1158005</v>
      </c>
      <c r="H29" s="3" t="str">
        <f>+EDITABLE!H30</f>
        <v>AULA-C2</v>
      </c>
      <c r="I29" s="3" t="str">
        <f>+EDITABLE!I30</f>
        <v>BUENO</v>
      </c>
      <c r="J29" s="3" t="str">
        <f>+EDITABLE!J30</f>
        <v>CON SOPORTE AEREO, CABLE DE SONIO DE 20 m. Y CABLE DE ENERGIA, 1 BAJO Y 2 TWITERS</v>
      </c>
      <c r="K29" s="2">
        <f>+EDITABLE!K30</f>
        <v>103</v>
      </c>
      <c r="L29" s="24">
        <f>+EDITABLE!L30</f>
        <v>45288</v>
      </c>
    </row>
    <row r="30" spans="1:13" x14ac:dyDescent="0.25">
      <c r="A30" s="3" t="str">
        <f>+EDITABLE!A31</f>
        <v>CAMAAULA-C2</v>
      </c>
      <c r="B30" s="6">
        <f>+EDITABLE!B31</f>
        <v>1</v>
      </c>
      <c r="C30" s="3" t="str">
        <f>+EDITABLE!C31</f>
        <v>CAMARA VIDEO VIGILANCIA</v>
      </c>
      <c r="D30" s="3" t="str">
        <f>+EDITABLE!D31</f>
        <v>BLANCO</v>
      </c>
      <c r="E30" s="3" t="str">
        <f>+EDITABLE!E31</f>
        <v>HIKVISION</v>
      </c>
      <c r="F30" s="3" t="str">
        <f>+EDITABLE!F31</f>
        <v>S/M</v>
      </c>
      <c r="G30" s="5" t="str">
        <f>+EDITABLE!G31</f>
        <v>S/S</v>
      </c>
      <c r="H30" s="3" t="str">
        <f>+EDITABLE!H31</f>
        <v>AULA-C2</v>
      </c>
      <c r="I30" s="3" t="str">
        <f>+EDITABLE!I31</f>
        <v>BUENO</v>
      </c>
      <c r="J30" s="3" t="str">
        <f>+EDITABLE!J31</f>
        <v>CONECTADA AL DVR Y VISION EN MOVIL Y CUARTO DE RED</v>
      </c>
      <c r="K30" s="2">
        <f>+EDITABLE!K31</f>
        <v>25</v>
      </c>
      <c r="L30" s="24">
        <f>+EDITABLE!L31</f>
        <v>44841</v>
      </c>
    </row>
    <row r="31" spans="1:13" x14ac:dyDescent="0.25">
      <c r="A31" s="3" t="str">
        <f>+EDITABLE!A32</f>
        <v>SENSAULA-C2</v>
      </c>
      <c r="B31" s="6">
        <f>+EDITABLE!B32</f>
        <v>1</v>
      </c>
      <c r="C31" s="3" t="str">
        <f>+EDITABLE!C32</f>
        <v>SENSOR DE ALARMA</v>
      </c>
      <c r="D31" s="3" t="str">
        <f>+EDITABLE!D32</f>
        <v>BLANCO</v>
      </c>
      <c r="E31" s="3" t="str">
        <f>+EDITABLE!E32</f>
        <v>DSC</v>
      </c>
      <c r="F31" s="3" t="str">
        <f>+EDITABLE!F32</f>
        <v>LC-100PI</v>
      </c>
      <c r="G31" s="5">
        <f>+EDITABLE!G32</f>
        <v>88030080</v>
      </c>
      <c r="H31" s="3" t="str">
        <f>+EDITABLE!H32</f>
        <v>AULA-C2</v>
      </c>
      <c r="I31" s="3" t="str">
        <f>+EDITABLE!I32</f>
        <v>BUENO</v>
      </c>
      <c r="J31" s="3" t="str">
        <f>+EDITABLE!J32</f>
        <v>CONECTADA AL SISTEMA DE ALARMAS</v>
      </c>
      <c r="K31" s="2">
        <f>+EDITABLE!K32</f>
        <v>20</v>
      </c>
      <c r="L31" s="24">
        <f>+EDITABLE!L32</f>
        <v>44841</v>
      </c>
    </row>
    <row r="32" spans="1:13" x14ac:dyDescent="0.25">
      <c r="A32" s="3" t="str">
        <f>+EDITABLE!A33</f>
        <v>SWITAULA-C2</v>
      </c>
      <c r="B32" s="6">
        <f>+EDITABLE!B33</f>
        <v>1</v>
      </c>
      <c r="C32" s="3" t="str">
        <f>+EDITABLE!C33</f>
        <v>SWITCH DE INTERNET</v>
      </c>
      <c r="D32" s="3" t="str">
        <f>+EDITABLE!D33</f>
        <v>AZUL</v>
      </c>
      <c r="E32" s="3" t="str">
        <f>+EDITABLE!E33</f>
        <v>T-PLINK</v>
      </c>
      <c r="F32" s="3" t="str">
        <f>+EDITABLE!F33</f>
        <v>TN-SG108</v>
      </c>
      <c r="G32" s="5" t="str">
        <f>+EDITABLE!G33</f>
        <v>22361E5003891</v>
      </c>
      <c r="H32" s="3" t="str">
        <f>+EDITABLE!H33</f>
        <v>AULA-C2</v>
      </c>
      <c r="I32" s="3" t="str">
        <f>+EDITABLE!I33</f>
        <v>BUENO</v>
      </c>
      <c r="J32" s="3" t="str">
        <f>+EDITABLE!J33</f>
        <v>DE 5 PUERTOS RJ45, TIPO DE COMUNICACIÓN STORE AND FORWARD</v>
      </c>
      <c r="K32" s="2">
        <f>+EDITABLE!K33</f>
        <v>22</v>
      </c>
      <c r="L32" s="24">
        <f>+EDITABLE!L33</f>
        <v>45288</v>
      </c>
    </row>
    <row r="33" spans="1:13" x14ac:dyDescent="0.25">
      <c r="A33" s="3" t="str">
        <f>+EDITABLE!A34</f>
        <v>REGUAULA-C2</v>
      </c>
      <c r="B33" s="6">
        <f>+EDITABLE!B34</f>
        <v>1</v>
      </c>
      <c r="C33" s="3" t="str">
        <f>+EDITABLE!C34</f>
        <v>REGULADOR DE VOLTAJE</v>
      </c>
      <c r="D33" s="3" t="str">
        <f>+EDITABLE!D34</f>
        <v>NEGRO</v>
      </c>
      <c r="E33" s="3" t="str">
        <f>+EDITABLE!E34</f>
        <v>INS</v>
      </c>
      <c r="F33" s="3" t="str">
        <f>+EDITABLE!F34</f>
        <v>AVR-INS2000VA</v>
      </c>
      <c r="G33" s="5" t="str">
        <f>+EDITABLE!G34</f>
        <v>19C04206300</v>
      </c>
      <c r="H33" s="3" t="str">
        <f>+EDITABLE!H34</f>
        <v>AULA-C2</v>
      </c>
      <c r="I33" s="3" t="str">
        <f>+EDITABLE!I34</f>
        <v>BUENO</v>
      </c>
      <c r="J33" s="3" t="str">
        <f>+EDITABLE!J34</f>
        <v>DE 8 TOMAS, 120V-60HZ, 2 PUERTOS RJ11 PARA TELÉFONO</v>
      </c>
      <c r="K33" s="2">
        <f>+EDITABLE!K34</f>
        <v>15</v>
      </c>
      <c r="L33" s="24">
        <f>+EDITABLE!L34</f>
        <v>45288</v>
      </c>
    </row>
    <row r="34" spans="1:13" x14ac:dyDescent="0.25">
      <c r="A34" s="3" t="str">
        <f>+EDITABLE!A35</f>
        <v/>
      </c>
      <c r="B34" s="6">
        <f>+EDITABLE!B35</f>
        <v>0</v>
      </c>
      <c r="C34" s="3">
        <f>+EDITABLE!C35</f>
        <v>0</v>
      </c>
      <c r="D34" s="3">
        <f>+EDITABLE!D35</f>
        <v>0</v>
      </c>
      <c r="E34" s="3">
        <f>+EDITABLE!E35</f>
        <v>0</v>
      </c>
      <c r="F34" s="3">
        <f>+EDITABLE!F35</f>
        <v>0</v>
      </c>
      <c r="G34" s="5">
        <f>+EDITABLE!G35</f>
        <v>0</v>
      </c>
      <c r="H34" s="3">
        <f>+EDITABLE!H35</f>
        <v>0</v>
      </c>
      <c r="I34" s="3">
        <f>+EDITABLE!I35</f>
        <v>0</v>
      </c>
      <c r="J34" s="3">
        <f>+EDITABLE!J35</f>
        <v>0</v>
      </c>
      <c r="K34" s="2">
        <f>+EDITABLE!K35</f>
        <v>0</v>
      </c>
      <c r="L34" s="24">
        <f>+EDITABLE!L35</f>
        <v>0</v>
      </c>
    </row>
    <row r="35" spans="1:13" x14ac:dyDescent="0.25">
      <c r="A35" s="3"/>
      <c r="B35" s="6">
        <f>+EDITABLE!B36</f>
        <v>0</v>
      </c>
      <c r="C35" s="3">
        <f>+EDITABLE!C36</f>
        <v>0</v>
      </c>
      <c r="D35" s="3">
        <f>+EDITABLE!D36</f>
        <v>0</v>
      </c>
      <c r="E35" s="3">
        <f>+EDITABLE!E36</f>
        <v>0</v>
      </c>
      <c r="F35" s="3">
        <f>+EDITABLE!F36</f>
        <v>0</v>
      </c>
      <c r="G35" s="5">
        <f>+EDITABLE!G36</f>
        <v>0</v>
      </c>
      <c r="H35" s="3">
        <f>+EDITABLE!H36</f>
        <v>0</v>
      </c>
      <c r="I35" s="3">
        <f>+EDITABLE!I36</f>
        <v>0</v>
      </c>
      <c r="J35" s="3">
        <f>+EDITABLE!J36</f>
        <v>0</v>
      </c>
      <c r="K35" s="2">
        <f>+EDITABLE!K36</f>
        <v>0</v>
      </c>
      <c r="L35" s="24">
        <f>+EDITABLE!L36</f>
        <v>0</v>
      </c>
    </row>
    <row r="36" spans="1:13" x14ac:dyDescent="0.25">
      <c r="A36" s="3" t="str">
        <f>+EDITABLE!A36</f>
        <v/>
      </c>
      <c r="B36" s="6">
        <f>+EDITABLE!B37</f>
        <v>0</v>
      </c>
      <c r="C36" s="3">
        <f>+EDITABLE!C37</f>
        <v>0</v>
      </c>
      <c r="D36" s="3">
        <f>+EDITABLE!D37</f>
        <v>0</v>
      </c>
      <c r="E36" s="3">
        <f>+EDITABLE!E37</f>
        <v>0</v>
      </c>
      <c r="F36" s="3">
        <f>+EDITABLE!F37</f>
        <v>0</v>
      </c>
      <c r="G36" s="5">
        <f>+EDITABLE!G37</f>
        <v>0</v>
      </c>
      <c r="H36" s="3">
        <f>+EDITABLE!H37</f>
        <v>0</v>
      </c>
      <c r="I36" s="3">
        <f>+EDITABLE!I37</f>
        <v>0</v>
      </c>
      <c r="J36" s="3">
        <f>+EDITABLE!J37</f>
        <v>0</v>
      </c>
      <c r="K36" s="2">
        <f>+EDITABLE!K37</f>
        <v>0</v>
      </c>
      <c r="L36" s="24">
        <f>+EDITABLE!L37</f>
        <v>0</v>
      </c>
    </row>
    <row r="37" spans="1:13" x14ac:dyDescent="0.25">
      <c r="A37" s="3" t="str">
        <f>+EDITABLE!A39</f>
        <v>CPUAULA-C3</v>
      </c>
      <c r="B37" s="6">
        <f>+EDITABLE!B39</f>
        <v>1</v>
      </c>
      <c r="C37" s="3" t="str">
        <f>+EDITABLE!C39</f>
        <v>CPU</v>
      </c>
      <c r="D37" s="3" t="str">
        <f>+EDITABLE!D39</f>
        <v>NEGRO</v>
      </c>
      <c r="E37" s="3" t="str">
        <f>+EDITABLE!E39</f>
        <v>DELUX</v>
      </c>
      <c r="F37" s="3" t="str">
        <f>+EDITABLE!F39</f>
        <v>S/M</v>
      </c>
      <c r="G37" s="5" t="str">
        <f>+EDITABLE!G39</f>
        <v>S/S</v>
      </c>
      <c r="H37" s="3" t="str">
        <f>+EDITABLE!H39</f>
        <v>AULA-C3</v>
      </c>
      <c r="I37" s="3" t="str">
        <f>+EDITABLE!I39</f>
        <v>BUENO</v>
      </c>
      <c r="J37" s="3" t="str">
        <f>+EDITABLE!J39</f>
        <v>WINDOWS 8.1 ENTERPRISE, PROCESADOR: INTEL ® CORE TM i5-2310 CPU, 2.90 GHZ, RAM 4 GB, 64 BITS, INTERNET ALAMBRICO</v>
      </c>
      <c r="K37" s="2">
        <f>+EDITABLE!K39</f>
        <v>250</v>
      </c>
      <c r="L37" s="24">
        <f>+EDITABLE!L39</f>
        <v>45288</v>
      </c>
      <c r="M37">
        <v>3</v>
      </c>
    </row>
    <row r="38" spans="1:13" x14ac:dyDescent="0.25">
      <c r="A38" s="3" t="str">
        <f>+EDITABLE!A40</f>
        <v>MONIAULA-C3</v>
      </c>
      <c r="B38" s="6">
        <f>+EDITABLE!B40</f>
        <v>1</v>
      </c>
      <c r="C38" s="3" t="str">
        <f>+EDITABLE!C40</f>
        <v>MONITOR</v>
      </c>
      <c r="D38" s="3" t="str">
        <f>+EDITABLE!D40</f>
        <v>NEGRO</v>
      </c>
      <c r="E38" s="3" t="str">
        <f>+EDITABLE!E40</f>
        <v>HP</v>
      </c>
      <c r="F38" s="3" t="str">
        <f>+EDITABLE!F40</f>
        <v>HPLV1911</v>
      </c>
      <c r="G38" s="5" t="str">
        <f>+EDITABLE!G40</f>
        <v>6CM213011T</v>
      </c>
      <c r="H38" s="3" t="str">
        <f>+EDITABLE!H40</f>
        <v>AULA-C3</v>
      </c>
      <c r="I38" s="3" t="str">
        <f>+EDITABLE!I40</f>
        <v>BUENO</v>
      </c>
      <c r="J38" s="3" t="str">
        <f>+EDITABLE!J40</f>
        <v>19,5 PULGADAS</v>
      </c>
      <c r="K38" s="2">
        <f>+EDITABLE!K40</f>
        <v>100</v>
      </c>
      <c r="L38" s="24">
        <f>+EDITABLE!L40</f>
        <v>45288</v>
      </c>
    </row>
    <row r="39" spans="1:13" x14ac:dyDescent="0.25">
      <c r="A39" s="3" t="str">
        <f>+EDITABLE!A41</f>
        <v>MOUSAULA-C3</v>
      </c>
      <c r="B39" s="6">
        <f>+EDITABLE!B41</f>
        <v>1</v>
      </c>
      <c r="C39" s="3" t="str">
        <f>+EDITABLE!C41</f>
        <v>MOUSE</v>
      </c>
      <c r="D39" s="3" t="str">
        <f>+EDITABLE!D41</f>
        <v>NEGRO, TRASPARENTE</v>
      </c>
      <c r="E39" s="3" t="str">
        <f>+EDITABLE!E41</f>
        <v>INS</v>
      </c>
      <c r="F39" s="3" t="str">
        <f>+EDITABLE!F41</f>
        <v>S/M</v>
      </c>
      <c r="G39" s="5" t="str">
        <f>+EDITABLE!G41</f>
        <v>S/S</v>
      </c>
      <c r="H39" s="3" t="str">
        <f>+EDITABLE!H41</f>
        <v>AULA-C3</v>
      </c>
      <c r="I39" s="3" t="str">
        <f>+EDITABLE!I41</f>
        <v>BUENO</v>
      </c>
      <c r="J39" s="3" t="str">
        <f>+EDITABLE!J41</f>
        <v>ALAMBRICO, LED, OPTICO</v>
      </c>
      <c r="K39" s="2">
        <f>+EDITABLE!K41</f>
        <v>5</v>
      </c>
      <c r="L39" s="24">
        <f>+EDITABLE!L41</f>
        <v>45288</v>
      </c>
    </row>
    <row r="40" spans="1:13" x14ac:dyDescent="0.25">
      <c r="A40" s="3" t="str">
        <f>+EDITABLE!A42</f>
        <v>TECLAULA-C3</v>
      </c>
      <c r="B40" s="6">
        <f>+EDITABLE!B42</f>
        <v>1</v>
      </c>
      <c r="C40" s="3" t="str">
        <f>+EDITABLE!C42</f>
        <v>TECLADO</v>
      </c>
      <c r="D40" s="3" t="str">
        <f>+EDITABLE!D42</f>
        <v>NEGRO</v>
      </c>
      <c r="E40" s="3" t="str">
        <f>+EDITABLE!E42</f>
        <v>GENERICO</v>
      </c>
      <c r="F40" s="3" t="str">
        <f>+EDITABLE!F42</f>
        <v>S/M</v>
      </c>
      <c r="G40" s="5" t="str">
        <f>+EDITABLE!G42</f>
        <v>S/S</v>
      </c>
      <c r="H40" s="3" t="str">
        <f>+EDITABLE!H42</f>
        <v>AULA-C3</v>
      </c>
      <c r="I40" s="3" t="str">
        <f>+EDITABLE!I42</f>
        <v>BUENO</v>
      </c>
      <c r="J40" s="3" t="str">
        <f>+EDITABLE!J42</f>
        <v>ALAMBRICO, TECLADO ALFANUMÉRICO, TECLAS ESPECIALES, CONECCIÓN USB.</v>
      </c>
      <c r="K40" s="2">
        <f>+EDITABLE!K42</f>
        <v>12</v>
      </c>
      <c r="L40" s="24">
        <f>+EDITABLE!L42</f>
        <v>45288</v>
      </c>
    </row>
    <row r="41" spans="1:13" x14ac:dyDescent="0.25">
      <c r="A41" s="3" t="str">
        <f>+EDITABLE!A43</f>
        <v>PROYAULA-C3</v>
      </c>
      <c r="B41" s="6">
        <f>+EDITABLE!B43</f>
        <v>1</v>
      </c>
      <c r="C41" s="3" t="str">
        <f>+EDITABLE!C43</f>
        <v>PROYECTOR</v>
      </c>
      <c r="D41" s="3" t="str">
        <f>+EDITABLE!D43</f>
        <v>NEGRO</v>
      </c>
      <c r="E41" s="3" t="str">
        <f>+EDITABLE!E43</f>
        <v>EPSON</v>
      </c>
      <c r="F41" s="3" t="str">
        <f>+EDITABLE!F43</f>
        <v>POWER LITE S12+</v>
      </c>
      <c r="G41" s="5" t="str">
        <f>+EDITABLE!G43</f>
        <v>PSPK2308028</v>
      </c>
      <c r="H41" s="3" t="str">
        <f>+EDITABLE!H43</f>
        <v>AULA-C3</v>
      </c>
      <c r="I41" s="3" t="str">
        <f>+EDITABLE!I43</f>
        <v>BUENO</v>
      </c>
      <c r="J41" s="3" t="str">
        <f>+EDITABLE!J43</f>
        <v>CON PEDESTAL, CABLE VGA DE 15 m. Y CABLE DE ENERGIA</v>
      </c>
      <c r="K41" s="2">
        <f>+EDITABLE!K43</f>
        <v>400</v>
      </c>
      <c r="L41" s="24">
        <f>+EDITABLE!L43</f>
        <v>45288</v>
      </c>
    </row>
    <row r="42" spans="1:13" x14ac:dyDescent="0.25">
      <c r="A42" s="3" t="str">
        <f>+EDITABLE!A44</f>
        <v>PARLAULA-C3</v>
      </c>
      <c r="B42" s="6">
        <f>+EDITABLE!B44</f>
        <v>1</v>
      </c>
      <c r="C42" s="3" t="str">
        <f>+EDITABLE!C44</f>
        <v>PARLANTES</v>
      </c>
      <c r="D42" s="3" t="str">
        <f>+EDITABLE!D44</f>
        <v>NEGRO</v>
      </c>
      <c r="E42" s="3" t="str">
        <f>+EDITABLE!E44</f>
        <v>KLIP EXTREME</v>
      </c>
      <c r="F42" s="3" t="str">
        <f>+EDITABLE!F44</f>
        <v>KSS-710</v>
      </c>
      <c r="G42" s="5" t="str">
        <f>+EDITABLE!G44</f>
        <v>13-11580</v>
      </c>
      <c r="H42" s="3" t="str">
        <f>+EDITABLE!H44</f>
        <v>AULA-C3</v>
      </c>
      <c r="I42" s="3" t="str">
        <f>+EDITABLE!I44</f>
        <v>BUENO</v>
      </c>
      <c r="J42" s="3" t="str">
        <f>+EDITABLE!J44</f>
        <v>CON SOPORTE AEREO, CABLE DE SONIO DE 20 m. Y CABLE DE ENERGIA, 1 BAJO Y 2 TWITERS</v>
      </c>
      <c r="K42" s="2">
        <f>+EDITABLE!K44</f>
        <v>103</v>
      </c>
      <c r="L42" s="24">
        <f>+EDITABLE!L44</f>
        <v>45288</v>
      </c>
    </row>
    <row r="43" spans="1:13" x14ac:dyDescent="0.25">
      <c r="A43" s="3" t="str">
        <f>+EDITABLE!A45</f>
        <v>CAMAAULA-C3</v>
      </c>
      <c r="B43" s="6">
        <f>+EDITABLE!B45</f>
        <v>1</v>
      </c>
      <c r="C43" s="3" t="str">
        <f>+EDITABLE!C45</f>
        <v>CAMARA VIDEO VIGILANCIA</v>
      </c>
      <c r="D43" s="3" t="str">
        <f>+EDITABLE!D45</f>
        <v>BLANCO</v>
      </c>
      <c r="E43" s="3" t="str">
        <f>+EDITABLE!E45</f>
        <v>HIKVISION</v>
      </c>
      <c r="F43" s="3" t="str">
        <f>+EDITABLE!F45</f>
        <v>S/M</v>
      </c>
      <c r="G43" s="5" t="str">
        <f>+EDITABLE!G45</f>
        <v>S/S</v>
      </c>
      <c r="H43" s="3" t="str">
        <f>+EDITABLE!H45</f>
        <v>AULA-C3</v>
      </c>
      <c r="I43" s="3" t="str">
        <f>+EDITABLE!I45</f>
        <v>BUENO</v>
      </c>
      <c r="J43" s="3" t="str">
        <f>+EDITABLE!J45</f>
        <v>CONECTADA AL DVR Y VISION EN MOVIL Y CUARTO DE RED</v>
      </c>
      <c r="K43" s="2">
        <f>+EDITABLE!K45</f>
        <v>25</v>
      </c>
      <c r="L43" s="24">
        <f>+EDITABLE!L45</f>
        <v>44841</v>
      </c>
    </row>
    <row r="44" spans="1:13" x14ac:dyDescent="0.25">
      <c r="A44" s="3" t="str">
        <f>+EDITABLE!A46</f>
        <v>SENSAULA-C3</v>
      </c>
      <c r="B44" s="6">
        <f>+EDITABLE!B46</f>
        <v>1</v>
      </c>
      <c r="C44" s="3" t="str">
        <f>+EDITABLE!C46</f>
        <v>SENSOR DE ALARMA</v>
      </c>
      <c r="D44" s="3" t="str">
        <f>+EDITABLE!D46</f>
        <v>BLANCO</v>
      </c>
      <c r="E44" s="3" t="str">
        <f>+EDITABLE!E46</f>
        <v>DSC</v>
      </c>
      <c r="F44" s="3" t="str">
        <f>+EDITABLE!F46</f>
        <v>LC-100PI</v>
      </c>
      <c r="G44" s="5">
        <f>+EDITABLE!G46</f>
        <v>88030080</v>
      </c>
      <c r="H44" s="3" t="str">
        <f>+EDITABLE!H46</f>
        <v>AULA-C3</v>
      </c>
      <c r="I44" s="3" t="str">
        <f>+EDITABLE!I46</f>
        <v>BUENO</v>
      </c>
      <c r="J44" s="3" t="str">
        <f>+EDITABLE!J46</f>
        <v>CONECTADA AL SISTEMA DE ALARMAS</v>
      </c>
      <c r="K44" s="2">
        <f>+EDITABLE!K46</f>
        <v>20</v>
      </c>
      <c r="L44" s="24">
        <f>+EDITABLE!L46</f>
        <v>44841</v>
      </c>
    </row>
    <row r="45" spans="1:13" x14ac:dyDescent="0.25">
      <c r="A45" s="3" t="str">
        <f>+EDITABLE!A47</f>
        <v/>
      </c>
      <c r="B45" s="6">
        <f>+EDITABLE!B47</f>
        <v>0</v>
      </c>
      <c r="C45" s="3">
        <f>+EDITABLE!C47</f>
        <v>0</v>
      </c>
      <c r="D45" s="3">
        <f>+EDITABLE!D47</f>
        <v>0</v>
      </c>
      <c r="E45" s="3">
        <f>+EDITABLE!E47</f>
        <v>0</v>
      </c>
      <c r="F45" s="3">
        <f>+EDITABLE!F47</f>
        <v>0</v>
      </c>
      <c r="G45" s="5">
        <f>+EDITABLE!G47</f>
        <v>0</v>
      </c>
      <c r="H45" s="3">
        <f>+EDITABLE!H47</f>
        <v>0</v>
      </c>
      <c r="I45" s="3">
        <f>+EDITABLE!I47</f>
        <v>0</v>
      </c>
      <c r="J45" s="3">
        <f>+EDITABLE!J47</f>
        <v>0</v>
      </c>
      <c r="K45" s="2">
        <f>+EDITABLE!K47</f>
        <v>0</v>
      </c>
      <c r="L45" s="24">
        <f>+EDITABLE!L47</f>
        <v>0</v>
      </c>
    </row>
    <row r="46" spans="1:13" x14ac:dyDescent="0.25">
      <c r="A46" s="3"/>
      <c r="B46" s="6">
        <f>+EDITABLE!B48</f>
        <v>0</v>
      </c>
      <c r="C46" s="3">
        <f>+EDITABLE!C48</f>
        <v>0</v>
      </c>
      <c r="D46" s="3">
        <f>+EDITABLE!D48</f>
        <v>0</v>
      </c>
      <c r="E46" s="3">
        <f>+EDITABLE!E48</f>
        <v>0</v>
      </c>
      <c r="F46" s="3">
        <f>+EDITABLE!F48</f>
        <v>0</v>
      </c>
      <c r="G46" s="5">
        <f>+EDITABLE!G48</f>
        <v>0</v>
      </c>
      <c r="H46" s="3">
        <f>+EDITABLE!H48</f>
        <v>0</v>
      </c>
      <c r="I46" s="3">
        <f>+EDITABLE!I48</f>
        <v>0</v>
      </c>
      <c r="J46" s="3">
        <f>+EDITABLE!J48</f>
        <v>0</v>
      </c>
      <c r="K46" s="2">
        <f>+EDITABLE!K48</f>
        <v>0</v>
      </c>
      <c r="L46" s="24">
        <f>+EDITABLE!L48</f>
        <v>0</v>
      </c>
    </row>
    <row r="47" spans="1:13" x14ac:dyDescent="0.25">
      <c r="A47" s="3" t="str">
        <f>+EDITABLE!A48</f>
        <v/>
      </c>
      <c r="B47" s="6">
        <f>+EDITABLE!B49</f>
        <v>0</v>
      </c>
      <c r="C47" s="3">
        <f>+EDITABLE!C49</f>
        <v>0</v>
      </c>
      <c r="D47" s="3">
        <f>+EDITABLE!D49</f>
        <v>0</v>
      </c>
      <c r="E47" s="3">
        <f>+EDITABLE!E49</f>
        <v>0</v>
      </c>
      <c r="F47" s="3">
        <f>+EDITABLE!F49</f>
        <v>0</v>
      </c>
      <c r="G47" s="5">
        <f>+EDITABLE!G49</f>
        <v>0</v>
      </c>
      <c r="H47" s="3">
        <f>+EDITABLE!H49</f>
        <v>0</v>
      </c>
      <c r="I47" s="3">
        <f>+EDITABLE!I49</f>
        <v>0</v>
      </c>
      <c r="J47" s="3">
        <f>+EDITABLE!J49</f>
        <v>0</v>
      </c>
      <c r="K47" s="2">
        <f>+EDITABLE!K49</f>
        <v>0</v>
      </c>
      <c r="L47" s="24">
        <f>+EDITABLE!L49</f>
        <v>0</v>
      </c>
    </row>
    <row r="48" spans="1:13" x14ac:dyDescent="0.25">
      <c r="A48" s="3" t="str">
        <f>+EDITABLE!A51</f>
        <v xml:space="preserve">CPUAULA-E2 </v>
      </c>
      <c r="B48" s="6">
        <f>+EDITABLE!B51</f>
        <v>1</v>
      </c>
      <c r="C48" s="3" t="str">
        <f>+EDITABLE!C51</f>
        <v>CPU</v>
      </c>
      <c r="D48" s="3" t="str">
        <f>+EDITABLE!D51</f>
        <v>NEGRO</v>
      </c>
      <c r="E48" s="3" t="str">
        <f>+EDITABLE!E51</f>
        <v>SION</v>
      </c>
      <c r="F48" s="3" t="str">
        <f>+EDITABLE!F51</f>
        <v>PC-SION-COE I5-SAM20</v>
      </c>
      <c r="G48" s="5">
        <f>+EDITABLE!G51</f>
        <v>81834</v>
      </c>
      <c r="H48" s="3" t="str">
        <f>+EDITABLE!H51</f>
        <v xml:space="preserve">AULA-E2 </v>
      </c>
      <c r="I48" s="3" t="str">
        <f>+EDITABLE!I51</f>
        <v>BUENO</v>
      </c>
      <c r="J48" s="3" t="str">
        <f>+EDITABLE!J51</f>
        <v>WINDOWS 8.1 SINGLE LENGUAGE, PROCESADOR: INTEL ® CORE TM i5-4460 CPU, 3.20 GHZ, RAM 4 GB, 64 BITS, INTERNET ALAMBRICO</v>
      </c>
      <c r="K48" s="2">
        <f>+EDITABLE!K51</f>
        <v>250</v>
      </c>
      <c r="L48" s="24">
        <f>+EDITABLE!L51</f>
        <v>45288</v>
      </c>
      <c r="M48">
        <v>4</v>
      </c>
    </row>
    <row r="49" spans="1:13" x14ac:dyDescent="0.25">
      <c r="A49" s="3" t="str">
        <f>+EDITABLE!A52</f>
        <v>MOUSAULA-E2</v>
      </c>
      <c r="B49" s="6">
        <f>+EDITABLE!B52</f>
        <v>1</v>
      </c>
      <c r="C49" s="3" t="str">
        <f>+EDITABLE!C52</f>
        <v>MOUSE</v>
      </c>
      <c r="D49" s="3" t="str">
        <f>+EDITABLE!D52</f>
        <v>NEGRO, TRASPARENTE</v>
      </c>
      <c r="E49" s="3" t="str">
        <f>+EDITABLE!E52</f>
        <v>INS</v>
      </c>
      <c r="F49" s="3" t="str">
        <f>+EDITABLE!F52</f>
        <v>S/M</v>
      </c>
      <c r="G49" s="5" t="str">
        <f>+EDITABLE!G52</f>
        <v>S/S</v>
      </c>
      <c r="H49" s="3" t="str">
        <f>+EDITABLE!H52</f>
        <v>AULA-E2</v>
      </c>
      <c r="I49" s="3" t="str">
        <f>+EDITABLE!I52</f>
        <v>BUENO</v>
      </c>
      <c r="J49" s="3" t="str">
        <f>+EDITABLE!J52</f>
        <v>ALAMBRICO, LED, OPTICO</v>
      </c>
      <c r="K49" s="2">
        <f>+EDITABLE!K52</f>
        <v>5</v>
      </c>
      <c r="L49" s="24">
        <f>+EDITABLE!L52</f>
        <v>45288</v>
      </c>
    </row>
    <row r="50" spans="1:13" x14ac:dyDescent="0.25">
      <c r="A50" s="3" t="str">
        <f>+EDITABLE!A53</f>
        <v>TECLAULA-E2</v>
      </c>
      <c r="B50" s="6">
        <f>+EDITABLE!B53</f>
        <v>1</v>
      </c>
      <c r="C50" s="3" t="str">
        <f>+EDITABLE!C53</f>
        <v>TECLADO</v>
      </c>
      <c r="D50" s="3" t="str">
        <f>+EDITABLE!D53</f>
        <v>NEGRO</v>
      </c>
      <c r="E50" s="3" t="str">
        <f>+EDITABLE!E53</f>
        <v>DELUX</v>
      </c>
      <c r="F50" s="3" t="str">
        <f>+EDITABLE!F53</f>
        <v>K5015</v>
      </c>
      <c r="G50" s="5" t="str">
        <f>+EDITABLE!G53</f>
        <v>K50151110000601</v>
      </c>
      <c r="H50" s="3" t="str">
        <f>+EDITABLE!H53</f>
        <v>AULA-E2</v>
      </c>
      <c r="I50" s="3" t="str">
        <f>+EDITABLE!I53</f>
        <v>BUENO</v>
      </c>
      <c r="J50" s="3" t="str">
        <f>+EDITABLE!J53</f>
        <v>ALAMBRICO, HERGONÓMICO, VARIOS USOS, CONECTOR USB</v>
      </c>
      <c r="K50" s="2">
        <f>+EDITABLE!K53</f>
        <v>17</v>
      </c>
      <c r="L50" s="24">
        <f>+EDITABLE!L53</f>
        <v>45288</v>
      </c>
    </row>
    <row r="51" spans="1:13" x14ac:dyDescent="0.25">
      <c r="A51" s="3" t="str">
        <f>+EDITABLE!A54</f>
        <v>PROYAULA-E2</v>
      </c>
      <c r="B51" s="6">
        <f>+EDITABLE!B54</f>
        <v>1</v>
      </c>
      <c r="C51" s="3" t="str">
        <f>+EDITABLE!C54</f>
        <v>PROYECTOR</v>
      </c>
      <c r="D51" s="3" t="str">
        <f>+EDITABLE!D54</f>
        <v>BLANCO</v>
      </c>
      <c r="E51" s="3" t="str">
        <f>+EDITABLE!E54</f>
        <v>VIEWSONIC</v>
      </c>
      <c r="F51" s="3" t="str">
        <f>+EDITABLE!F54</f>
        <v>PA503S</v>
      </c>
      <c r="G51" s="5" t="str">
        <f>+EDITABLE!G54</f>
        <v>VOR231704316</v>
      </c>
      <c r="H51" s="3" t="str">
        <f>+EDITABLE!H54</f>
        <v>AULA-E2</v>
      </c>
      <c r="I51" s="3" t="str">
        <f>+EDITABLE!I54</f>
        <v>BUENO</v>
      </c>
      <c r="J51" s="3" t="str">
        <f>+EDITABLE!J54</f>
        <v>CON PEDESTAL, CABLE HDMI DE 15 m. Y CABLE DE ENERGIA</v>
      </c>
      <c r="K51" s="2">
        <f>+EDITABLE!K54</f>
        <v>582.72</v>
      </c>
      <c r="L51" s="24">
        <f>+EDITABLE!L54</f>
        <v>45288</v>
      </c>
    </row>
    <row r="52" spans="1:13" x14ac:dyDescent="0.25">
      <c r="A52" s="3" t="str">
        <f>+EDITABLE!A55</f>
        <v>CONTAULA-E2</v>
      </c>
      <c r="B52" s="6">
        <f>+EDITABLE!B55</f>
        <v>1</v>
      </c>
      <c r="C52" s="3" t="str">
        <f>+EDITABLE!C55</f>
        <v>CONTROL PROYECTOR</v>
      </c>
      <c r="D52" s="3" t="str">
        <f>+EDITABLE!D55</f>
        <v>BLANCO</v>
      </c>
      <c r="E52" s="3" t="str">
        <f>+EDITABLE!E55</f>
        <v>VIEWSONIC</v>
      </c>
      <c r="F52" s="3" t="str">
        <f>+EDITABLE!F55</f>
        <v>Q-3101</v>
      </c>
      <c r="G52" s="5" t="str">
        <f>+EDITABLE!G55</f>
        <v>S/S</v>
      </c>
      <c r="H52" s="3" t="str">
        <f>+EDITABLE!H55</f>
        <v>AULA-E2</v>
      </c>
      <c r="I52" s="3" t="str">
        <f>+EDITABLE!I55</f>
        <v>BUENO</v>
      </c>
      <c r="J52" s="3" t="str">
        <f>+EDITABLE!J55</f>
        <v>2 PILAS AAA</v>
      </c>
      <c r="K52" s="2">
        <f>+EDITABLE!K55</f>
        <v>10</v>
      </c>
      <c r="L52" s="24">
        <f>+EDITABLE!L55</f>
        <v>45288</v>
      </c>
    </row>
    <row r="53" spans="1:13" x14ac:dyDescent="0.25">
      <c r="A53" s="3" t="str">
        <f>+EDITABLE!A56</f>
        <v>PARLAULA-E2</v>
      </c>
      <c r="B53" s="6">
        <f>+EDITABLE!B56</f>
        <v>1</v>
      </c>
      <c r="C53" s="3" t="str">
        <f>+EDITABLE!C56</f>
        <v>PARLANTES</v>
      </c>
      <c r="D53" s="3" t="str">
        <f>+EDITABLE!D56</f>
        <v>NEGRO</v>
      </c>
      <c r="E53" s="3" t="str">
        <f>+EDITABLE!E56</f>
        <v>KLIP EXTREME</v>
      </c>
      <c r="F53" s="3" t="str">
        <f>+EDITABLE!F56</f>
        <v>KSS-710</v>
      </c>
      <c r="G53" s="5" t="str">
        <f>+EDITABLE!G56</f>
        <v>13-11580</v>
      </c>
      <c r="H53" s="3" t="str">
        <f>+EDITABLE!H56</f>
        <v>AULA-E2</v>
      </c>
      <c r="I53" s="3" t="str">
        <f>+EDITABLE!I56</f>
        <v>BUENO</v>
      </c>
      <c r="J53" s="3" t="str">
        <f>+EDITABLE!J56</f>
        <v>CON SOPORTE AEREO, CABLE DE SONIO DE 20 m. Y CABLE DE ENERGIA, 1 BAJO Y 2 TWITERS</v>
      </c>
      <c r="K53" s="2">
        <f>+EDITABLE!K56</f>
        <v>103</v>
      </c>
      <c r="L53" s="24">
        <f>+EDITABLE!L56</f>
        <v>45288</v>
      </c>
    </row>
    <row r="54" spans="1:13" x14ac:dyDescent="0.25">
      <c r="A54" s="3" t="str">
        <f>+EDITABLE!A57</f>
        <v>CAMAAULA-E2</v>
      </c>
      <c r="B54" s="6">
        <f>+EDITABLE!B57</f>
        <v>1</v>
      </c>
      <c r="C54" s="3" t="str">
        <f>+EDITABLE!C57</f>
        <v>CAMARA VIDEO VIGILANCIA</v>
      </c>
      <c r="D54" s="3" t="str">
        <f>+EDITABLE!D57</f>
        <v>BLANCO</v>
      </c>
      <c r="E54" s="3" t="str">
        <f>+EDITABLE!E57</f>
        <v>HIKVISION</v>
      </c>
      <c r="F54" s="3" t="str">
        <f>+EDITABLE!F57</f>
        <v>S/M</v>
      </c>
      <c r="G54" s="5" t="str">
        <f>+EDITABLE!G57</f>
        <v>S/S</v>
      </c>
      <c r="H54" s="3" t="str">
        <f>+EDITABLE!H57</f>
        <v>AULA-E2</v>
      </c>
      <c r="I54" s="3" t="str">
        <f>+EDITABLE!I57</f>
        <v>BUENO</v>
      </c>
      <c r="J54" s="3" t="str">
        <f>+EDITABLE!J57</f>
        <v>CONECTADA AL DVR Y VISION EN MOVIL Y CUARTO DE RED</v>
      </c>
      <c r="K54" s="2">
        <f>+EDITABLE!K57</f>
        <v>35</v>
      </c>
      <c r="L54" s="24">
        <f>+EDITABLE!L57</f>
        <v>45288</v>
      </c>
    </row>
    <row r="55" spans="1:13" x14ac:dyDescent="0.25">
      <c r="A55" s="3" t="str">
        <f>+EDITABLE!A58</f>
        <v>SENSAULA-E2</v>
      </c>
      <c r="B55" s="6">
        <f>+EDITABLE!B58</f>
        <v>1</v>
      </c>
      <c r="C55" s="3" t="str">
        <f>+EDITABLE!C58</f>
        <v>SENSOR DE ALARMA</v>
      </c>
      <c r="D55" s="3" t="str">
        <f>+EDITABLE!D58</f>
        <v>BLANCO</v>
      </c>
      <c r="E55" s="3" t="str">
        <f>+EDITABLE!E58</f>
        <v>DSC</v>
      </c>
      <c r="F55" s="3" t="str">
        <f>+EDITABLE!F58</f>
        <v>LC-100PI</v>
      </c>
      <c r="G55" s="5">
        <f>+EDITABLE!G58</f>
        <v>88030080</v>
      </c>
      <c r="H55" s="3" t="str">
        <f>+EDITABLE!H58</f>
        <v>AULA-E2</v>
      </c>
      <c r="I55" s="3" t="str">
        <f>+EDITABLE!I58</f>
        <v>BUENO</v>
      </c>
      <c r="J55" s="3" t="str">
        <f>+EDITABLE!J58</f>
        <v>CONECTADA AL SISTEMA DE ALARMAS</v>
      </c>
      <c r="K55" s="2">
        <f>+EDITABLE!K58</f>
        <v>20</v>
      </c>
      <c r="L55" s="24">
        <f>+EDITABLE!L58</f>
        <v>44841</v>
      </c>
    </row>
    <row r="56" spans="1:13" x14ac:dyDescent="0.25">
      <c r="A56" s="3" t="str">
        <f>+EDITABLE!A59</f>
        <v>REGUAULA-E2</v>
      </c>
      <c r="B56" s="6">
        <f>+EDITABLE!B59</f>
        <v>1</v>
      </c>
      <c r="C56" s="3" t="str">
        <f>+EDITABLE!C59</f>
        <v>REGULADOR DE VOLTAJE</v>
      </c>
      <c r="D56" s="3" t="str">
        <f>+EDITABLE!D59</f>
        <v>NEGRO</v>
      </c>
      <c r="E56" s="3" t="str">
        <f>+EDITABLE!E59</f>
        <v>AITEX</v>
      </c>
      <c r="F56" s="3" t="str">
        <f>+EDITABLE!F59</f>
        <v>AVR 1600SN</v>
      </c>
      <c r="G56" s="5">
        <f>+EDITABLE!G59</f>
        <v>130414500</v>
      </c>
      <c r="H56" s="3" t="str">
        <f>+EDITABLE!H59</f>
        <v>AULA-E2</v>
      </c>
      <c r="I56" s="3" t="str">
        <f>+EDITABLE!I59</f>
        <v>BIENO</v>
      </c>
      <c r="J56" s="3" t="str">
        <f>+EDITABLE!J59</f>
        <v>DE 8 TOMAS, 120V-60HZ Y DOS TOMAS RJ11PARA TELÉFONO</v>
      </c>
      <c r="K56" s="2">
        <f>+EDITABLE!K59</f>
        <v>15</v>
      </c>
      <c r="L56" s="24">
        <f>+EDITABLE!L59</f>
        <v>45288</v>
      </c>
    </row>
    <row r="57" spans="1:13" x14ac:dyDescent="0.25">
      <c r="A57" s="3" t="str">
        <f>+EDITABLE!A60</f>
        <v>ADAPAULA-E2</v>
      </c>
      <c r="B57" s="6">
        <f>+EDITABLE!B60</f>
        <v>1</v>
      </c>
      <c r="C57" s="3" t="str">
        <f>+EDITABLE!C60</f>
        <v>ADAPTADOR DE INTERNET</v>
      </c>
      <c r="D57" s="3" t="str">
        <f>+EDITABLE!D60</f>
        <v>BLANCO</v>
      </c>
      <c r="E57" s="3" t="str">
        <f>+EDITABLE!E60</f>
        <v>UI.COM</v>
      </c>
      <c r="F57" s="3" t="str">
        <f>+EDITABLE!F60</f>
        <v>GP-A240-050G</v>
      </c>
      <c r="G57" s="5">
        <f>+EDITABLE!G60</f>
        <v>19320005685</v>
      </c>
      <c r="H57" s="3" t="str">
        <f>+EDITABLE!H60</f>
        <v>AULA-E2</v>
      </c>
      <c r="I57" s="3" t="str">
        <f>+EDITABLE!I60</f>
        <v>BUENO</v>
      </c>
      <c r="J57" s="3" t="str">
        <f>+EDITABLE!J60</f>
        <v>DOS PUERTOS 1 DE ENTRADA Y 1  SALIDA, CABLE DE ENERGIA</v>
      </c>
      <c r="K57" s="2">
        <f>+EDITABLE!K60</f>
        <v>40</v>
      </c>
      <c r="L57" s="24">
        <f>+EDITABLE!L60</f>
        <v>45288</v>
      </c>
    </row>
    <row r="58" spans="1:13" x14ac:dyDescent="0.25">
      <c r="A58" s="3" t="str">
        <f>+EDITABLE!A61</f>
        <v/>
      </c>
      <c r="B58" s="6">
        <f>+EDITABLE!B61</f>
        <v>0</v>
      </c>
      <c r="C58" s="3">
        <f>+EDITABLE!C61</f>
        <v>0</v>
      </c>
      <c r="D58" s="3">
        <f>+EDITABLE!D61</f>
        <v>0</v>
      </c>
      <c r="E58" s="3">
        <f>+EDITABLE!E61</f>
        <v>0</v>
      </c>
      <c r="F58" s="3">
        <f>+EDITABLE!F61</f>
        <v>0</v>
      </c>
      <c r="G58" s="5">
        <f>+EDITABLE!G61</f>
        <v>0</v>
      </c>
      <c r="H58" s="3">
        <f>+EDITABLE!H61</f>
        <v>0</v>
      </c>
      <c r="I58" s="3">
        <f>+EDITABLE!I61</f>
        <v>0</v>
      </c>
      <c r="J58" s="3">
        <f>+EDITABLE!J61</f>
        <v>0</v>
      </c>
      <c r="K58" s="2">
        <f>+EDITABLE!K61</f>
        <v>0</v>
      </c>
      <c r="L58" s="24">
        <f>+EDITABLE!L61</f>
        <v>0</v>
      </c>
    </row>
    <row r="59" spans="1:13" x14ac:dyDescent="0.25">
      <c r="A59" s="3" t="str">
        <f>+EDITABLE!A62</f>
        <v/>
      </c>
      <c r="B59" s="6">
        <f>+EDITABLE!B62</f>
        <v>0</v>
      </c>
      <c r="C59" s="3">
        <f>+EDITABLE!C62</f>
        <v>0</v>
      </c>
      <c r="D59" s="3">
        <f>+EDITABLE!D62</f>
        <v>0</v>
      </c>
      <c r="E59" s="3">
        <f>+EDITABLE!E62</f>
        <v>0</v>
      </c>
      <c r="F59" s="3">
        <f>+EDITABLE!F62</f>
        <v>0</v>
      </c>
      <c r="G59" s="5">
        <f>+EDITABLE!G62</f>
        <v>0</v>
      </c>
      <c r="H59" s="3">
        <f>+EDITABLE!H62</f>
        <v>0</v>
      </c>
      <c r="I59" s="3">
        <f>+EDITABLE!I62</f>
        <v>0</v>
      </c>
      <c r="J59" s="3">
        <f>+EDITABLE!J62</f>
        <v>0</v>
      </c>
      <c r="K59" s="2">
        <f>+EDITABLE!K62</f>
        <v>0</v>
      </c>
      <c r="L59" s="24">
        <f>+EDITABLE!L62</f>
        <v>0</v>
      </c>
    </row>
    <row r="60" spans="1:13" x14ac:dyDescent="0.25">
      <c r="A60" s="3" t="str">
        <f>+EDITABLE!A63</f>
        <v/>
      </c>
      <c r="B60" s="6">
        <f>+EDITABLE!B63</f>
        <v>0</v>
      </c>
      <c r="C60" s="3">
        <f>+EDITABLE!C63</f>
        <v>0</v>
      </c>
      <c r="D60" s="3">
        <f>+EDITABLE!D63</f>
        <v>0</v>
      </c>
      <c r="E60" s="3">
        <f>+EDITABLE!E63</f>
        <v>0</v>
      </c>
      <c r="F60" s="3">
        <f>+EDITABLE!F63</f>
        <v>0</v>
      </c>
      <c r="G60" s="5">
        <f>+EDITABLE!G63</f>
        <v>0</v>
      </c>
      <c r="H60" s="3">
        <f>+EDITABLE!H63</f>
        <v>0</v>
      </c>
      <c r="I60" s="3">
        <f>+EDITABLE!I63</f>
        <v>0</v>
      </c>
      <c r="J60" s="3">
        <f>+EDITABLE!J63</f>
        <v>0</v>
      </c>
      <c r="K60" s="2">
        <f>+EDITABLE!K63</f>
        <v>0</v>
      </c>
      <c r="L60" s="24">
        <f>+EDITABLE!L63</f>
        <v>0</v>
      </c>
    </row>
    <row r="61" spans="1:13" x14ac:dyDescent="0.25">
      <c r="A61" s="3" t="str">
        <f>+EDITABLE!A65</f>
        <v>CPUAULA-D1</v>
      </c>
      <c r="B61" s="6">
        <f>+EDITABLE!B65</f>
        <v>1</v>
      </c>
      <c r="C61" s="3" t="str">
        <f>+EDITABLE!C65</f>
        <v>CPU</v>
      </c>
      <c r="D61" s="3" t="str">
        <f>+EDITABLE!D65</f>
        <v>NEGRO</v>
      </c>
      <c r="E61" s="3" t="str">
        <f>+EDITABLE!E65</f>
        <v>INS</v>
      </c>
      <c r="F61" s="3" t="str">
        <f>+EDITABLE!F65</f>
        <v>GENERICO</v>
      </c>
      <c r="G61" s="5" t="str">
        <f>+EDITABLE!G65</f>
        <v>GENERICO</v>
      </c>
      <c r="H61" s="3" t="str">
        <f>+EDITABLE!H65</f>
        <v>AULA-D1</v>
      </c>
      <c r="I61" s="3" t="str">
        <f>+EDITABLE!I65</f>
        <v>BUENO</v>
      </c>
      <c r="J61" s="3" t="str">
        <f>+EDITABLE!J65</f>
        <v>WINDOWS 8.1 ENTERPRISE, PROCESADOR: INTEL ® CORE TM i3-9100F CPU, 3.60 GHZ, RAM 4 GB, 64 BITS, INTERNET ALAMBRICO</v>
      </c>
      <c r="K61" s="2">
        <f>+EDITABLE!K65</f>
        <v>250</v>
      </c>
      <c r="L61" s="24">
        <f>+EDITABLE!L65</f>
        <v>45288</v>
      </c>
      <c r="M61">
        <v>5</v>
      </c>
    </row>
    <row r="62" spans="1:13" x14ac:dyDescent="0.25">
      <c r="A62" s="3" t="str">
        <f>+EDITABLE!A66</f>
        <v>MOUSAULA-D1</v>
      </c>
      <c r="B62" s="6">
        <f>+EDITABLE!B66</f>
        <v>1</v>
      </c>
      <c r="C62" s="3" t="str">
        <f>+EDITABLE!C66</f>
        <v>MOUSE</v>
      </c>
      <c r="D62" s="3" t="str">
        <f>+EDITABLE!D66</f>
        <v>NEGRO, TRASPARENTE</v>
      </c>
      <c r="E62" s="3" t="str">
        <f>+EDITABLE!E66</f>
        <v>INS</v>
      </c>
      <c r="F62" s="3" t="str">
        <f>+EDITABLE!F66</f>
        <v>S/M</v>
      </c>
      <c r="G62" s="5" t="str">
        <f>+EDITABLE!G66</f>
        <v>S/S</v>
      </c>
      <c r="H62" s="3" t="str">
        <f>+EDITABLE!H66</f>
        <v>AULA-D1</v>
      </c>
      <c r="I62" s="3" t="str">
        <f>+EDITABLE!I66</f>
        <v>BUENO</v>
      </c>
      <c r="J62" s="3" t="str">
        <f>+EDITABLE!J66</f>
        <v>ALAMBRICO, LED, OPTICO</v>
      </c>
      <c r="K62" s="2">
        <f>+EDITABLE!K66</f>
        <v>5</v>
      </c>
      <c r="L62" s="24">
        <f>+EDITABLE!L66</f>
        <v>45288</v>
      </c>
    </row>
    <row r="63" spans="1:13" x14ac:dyDescent="0.25">
      <c r="A63" s="3" t="str">
        <f>+EDITABLE!A67</f>
        <v>TECLAULA-D1</v>
      </c>
      <c r="B63" s="6">
        <f>+EDITABLE!B67</f>
        <v>1</v>
      </c>
      <c r="C63" s="3" t="str">
        <f>+EDITABLE!C67</f>
        <v>TECLADO</v>
      </c>
      <c r="D63" s="3" t="str">
        <f>+EDITABLE!D67</f>
        <v>NEGRO</v>
      </c>
      <c r="E63" s="3" t="str">
        <f>+EDITABLE!E67</f>
        <v>GENIUS</v>
      </c>
      <c r="F63" s="3" t="str">
        <f>+EDITABLE!F67</f>
        <v>KB-115</v>
      </c>
      <c r="G63" s="5" t="str">
        <f>+EDITABLE!G67</f>
        <v>UD19M2705685</v>
      </c>
      <c r="H63" s="3" t="str">
        <f>+EDITABLE!H67</f>
        <v>AULA-D1</v>
      </c>
      <c r="I63" s="3" t="str">
        <f>+EDITABLE!I67</f>
        <v>BUENO</v>
      </c>
      <c r="J63" s="3" t="str">
        <f>+EDITABLE!J67</f>
        <v>ALAMBRICO, CONECTOR USB, COMPATIBLE PARA JUEGOS, TECLADO NUMÉRICO.</v>
      </c>
      <c r="K63" s="2">
        <f>+EDITABLE!K67</f>
        <v>10</v>
      </c>
      <c r="L63" s="24">
        <f>+EDITABLE!L67</f>
        <v>45288</v>
      </c>
    </row>
    <row r="64" spans="1:13" x14ac:dyDescent="0.25">
      <c r="A64" s="3" t="str">
        <f>+EDITABLE!A68</f>
        <v>PROYAULA-D1</v>
      </c>
      <c r="B64" s="6">
        <f>+EDITABLE!B68</f>
        <v>1</v>
      </c>
      <c r="C64" s="3" t="str">
        <f>+EDITABLE!C68</f>
        <v>PROYECTOR</v>
      </c>
      <c r="D64" s="3" t="str">
        <f>+EDITABLE!D68</f>
        <v>BLANCO</v>
      </c>
      <c r="E64" s="3" t="str">
        <f>+EDITABLE!E68</f>
        <v>VIEWSONIC</v>
      </c>
      <c r="F64" s="3" t="str">
        <f>+EDITABLE!F68</f>
        <v>PA503S</v>
      </c>
      <c r="G64" s="5" t="str">
        <f>+EDITABLE!G68</f>
        <v>VOR231704169</v>
      </c>
      <c r="H64" s="3" t="str">
        <f>+EDITABLE!H68</f>
        <v>AULA-D1</v>
      </c>
      <c r="I64" s="3" t="str">
        <f>+EDITABLE!I68</f>
        <v>BUENO</v>
      </c>
      <c r="J64" s="3" t="str">
        <f>+EDITABLE!J68</f>
        <v>CON PEDESTAL, CABLE HDMI DE 15 m. Y CABLE DE ENERGIA</v>
      </c>
      <c r="K64" s="2">
        <f>+EDITABLE!K68</f>
        <v>582.72</v>
      </c>
      <c r="L64" s="24">
        <f>+EDITABLE!L68</f>
        <v>45288</v>
      </c>
    </row>
    <row r="65" spans="1:13" x14ac:dyDescent="0.25">
      <c r="A65" s="3" t="str">
        <f>+EDITABLE!A69</f>
        <v>CONTAULA-D1</v>
      </c>
      <c r="B65" s="6">
        <f>+EDITABLE!B69</f>
        <v>1</v>
      </c>
      <c r="C65" s="3" t="str">
        <f>+EDITABLE!C69</f>
        <v>CONTROL PROYECTOR</v>
      </c>
      <c r="D65" s="3" t="str">
        <f>+EDITABLE!D69</f>
        <v>BLANCO</v>
      </c>
      <c r="E65" s="3" t="str">
        <f>+EDITABLE!E69</f>
        <v>VIEWSONIC</v>
      </c>
      <c r="F65" s="3" t="str">
        <f>+EDITABLE!F69</f>
        <v>Q-3101</v>
      </c>
      <c r="G65" s="5" t="str">
        <f>+EDITABLE!G69</f>
        <v>S/S</v>
      </c>
      <c r="H65" s="3" t="str">
        <f>+EDITABLE!H69</f>
        <v>AULA-D1</v>
      </c>
      <c r="I65" s="3" t="str">
        <f>+EDITABLE!I69</f>
        <v>BUENO</v>
      </c>
      <c r="J65" s="3" t="str">
        <f>+EDITABLE!J69</f>
        <v>2 PILAS AAA</v>
      </c>
      <c r="K65" s="2">
        <f>+EDITABLE!K69</f>
        <v>10</v>
      </c>
      <c r="L65" s="24">
        <f>+EDITABLE!L69</f>
        <v>45288</v>
      </c>
    </row>
    <row r="66" spans="1:13" x14ac:dyDescent="0.25">
      <c r="A66" s="3" t="str">
        <f>+EDITABLE!A70</f>
        <v>PARLAULA-D1</v>
      </c>
      <c r="B66" s="6">
        <f>+EDITABLE!B70</f>
        <v>1</v>
      </c>
      <c r="C66" s="3" t="str">
        <f>+EDITABLE!C70</f>
        <v>PARLANTES</v>
      </c>
      <c r="D66" s="3" t="str">
        <f>+EDITABLE!D70</f>
        <v>NEGRO</v>
      </c>
      <c r="E66" s="3" t="str">
        <f>+EDITABLE!E70</f>
        <v>GENERICO</v>
      </c>
      <c r="F66" s="3" t="str">
        <f>+EDITABLE!F70</f>
        <v>S/M</v>
      </c>
      <c r="G66" s="5" t="str">
        <f>+EDITABLE!G70</f>
        <v>S/S</v>
      </c>
      <c r="H66" s="3" t="str">
        <f>+EDITABLE!H70</f>
        <v>AULA-D1</v>
      </c>
      <c r="I66" s="3" t="str">
        <f>+EDITABLE!I70</f>
        <v>BUENO</v>
      </c>
      <c r="J66" s="3" t="str">
        <f>+EDITABLE!J70</f>
        <v xml:space="preserve">CON SOPORTE AEREO, CABLE DE SONIO Y CABLE DE ENERGIA, 1 BAJO Y DOS TWITER </v>
      </c>
      <c r="K66" s="2">
        <f>+EDITABLE!K70</f>
        <v>39.200000000000003</v>
      </c>
      <c r="L66" s="24">
        <f>+EDITABLE!L70</f>
        <v>45288</v>
      </c>
    </row>
    <row r="67" spans="1:13" x14ac:dyDescent="0.25">
      <c r="A67" s="3" t="str">
        <f>+EDITABLE!A71</f>
        <v>CAMAAULA-D1</v>
      </c>
      <c r="B67" s="6">
        <f>+EDITABLE!B71</f>
        <v>1</v>
      </c>
      <c r="C67" s="3" t="str">
        <f>+EDITABLE!C71</f>
        <v>CAMARA VIDEO VIGILANCIA</v>
      </c>
      <c r="D67" s="3" t="str">
        <f>+EDITABLE!D71</f>
        <v>BLANCO</v>
      </c>
      <c r="E67" s="3" t="str">
        <f>+EDITABLE!E71</f>
        <v>EZVIZ</v>
      </c>
      <c r="F67" s="3" t="str">
        <f>+EDITABLE!F71</f>
        <v>S/M</v>
      </c>
      <c r="G67" s="5" t="str">
        <f>+EDITABLE!G71</f>
        <v>S/S</v>
      </c>
      <c r="H67" s="3" t="str">
        <f>+EDITABLE!H71</f>
        <v>AULA-D1</v>
      </c>
      <c r="I67" s="3" t="str">
        <f>+EDITABLE!I71</f>
        <v>BUENO</v>
      </c>
      <c r="J67" s="3" t="str">
        <f>+EDITABLE!J71</f>
        <v>VISION EN MOVIL GIRATORIA, CON ALARMA, TARGETA MICRO DE 64 GB</v>
      </c>
      <c r="K67" s="2">
        <f>+EDITABLE!K71</f>
        <v>185.45</v>
      </c>
      <c r="L67" s="24">
        <f>+EDITABLE!L71</f>
        <v>45489</v>
      </c>
    </row>
    <row r="68" spans="1:13" x14ac:dyDescent="0.25">
      <c r="A68" s="3" t="str">
        <f>+EDITABLE!A72</f>
        <v>MODEAULA-D1</v>
      </c>
      <c r="B68" s="6">
        <f>+EDITABLE!B72</f>
        <v>1</v>
      </c>
      <c r="C68" s="3" t="str">
        <f>+EDITABLE!C72</f>
        <v>MODEM WIFI</v>
      </c>
      <c r="D68" s="3" t="str">
        <f>+EDITABLE!D72</f>
        <v>NEGRO</v>
      </c>
      <c r="E68" s="3" t="str">
        <f>+EDITABLE!E72</f>
        <v>TP-LINK</v>
      </c>
      <c r="F68" s="3" t="str">
        <f>+EDITABLE!F72</f>
        <v>ARCHEDC50(ES)</v>
      </c>
      <c r="G68" s="5" t="str">
        <f>+EDITABLE!G72</f>
        <v>223C3L1003679</v>
      </c>
      <c r="H68" s="3" t="str">
        <f>+EDITABLE!H72</f>
        <v>AULA-D1</v>
      </c>
      <c r="I68" s="3" t="str">
        <f>+EDITABLE!I72</f>
        <v>BUENO</v>
      </c>
      <c r="J68" s="3" t="str">
        <f>+EDITABLE!J72</f>
        <v>5 PUERTOS RJ45 Y CABLE DE ENERGIA</v>
      </c>
      <c r="K68" s="2">
        <f>+EDITABLE!K72</f>
        <v>33.6</v>
      </c>
      <c r="L68" s="24">
        <f>+EDITABLE!L72</f>
        <v>45288</v>
      </c>
    </row>
    <row r="69" spans="1:13" x14ac:dyDescent="0.25">
      <c r="A69" s="3" t="str">
        <f>+EDITABLE!A73</f>
        <v/>
      </c>
      <c r="B69" s="6">
        <f>+EDITABLE!B73</f>
        <v>0</v>
      </c>
      <c r="C69" s="3">
        <f>+EDITABLE!C73</f>
        <v>0</v>
      </c>
      <c r="D69" s="3">
        <f>+EDITABLE!D73</f>
        <v>0</v>
      </c>
      <c r="E69" s="3">
        <f>+EDITABLE!E73</f>
        <v>0</v>
      </c>
      <c r="F69" s="3">
        <f>+EDITABLE!F73</f>
        <v>0</v>
      </c>
      <c r="G69" s="5">
        <f>+EDITABLE!G73</f>
        <v>0</v>
      </c>
      <c r="H69" s="3">
        <f>+EDITABLE!H73</f>
        <v>0</v>
      </c>
      <c r="I69" s="3">
        <f>+EDITABLE!I73</f>
        <v>0</v>
      </c>
      <c r="J69" s="3">
        <f>+EDITABLE!J73</f>
        <v>0</v>
      </c>
      <c r="K69" s="2">
        <f>+EDITABLE!K73</f>
        <v>0</v>
      </c>
      <c r="L69" s="24">
        <f>+EDITABLE!L73</f>
        <v>0</v>
      </c>
    </row>
    <row r="70" spans="1:13" x14ac:dyDescent="0.25">
      <c r="A70" s="3"/>
      <c r="B70" s="6">
        <f>+EDITABLE!B74</f>
        <v>0</v>
      </c>
      <c r="C70" s="3">
        <f>+EDITABLE!C74</f>
        <v>0</v>
      </c>
      <c r="D70" s="3">
        <f>+EDITABLE!D74</f>
        <v>0</v>
      </c>
      <c r="E70" s="3">
        <f>+EDITABLE!E74</f>
        <v>0</v>
      </c>
      <c r="F70" s="3">
        <f>+EDITABLE!F74</f>
        <v>0</v>
      </c>
      <c r="G70" s="5">
        <f>+EDITABLE!G74</f>
        <v>0</v>
      </c>
      <c r="H70" s="3">
        <f>+EDITABLE!H74</f>
        <v>0</v>
      </c>
      <c r="I70" s="3">
        <f>+EDITABLE!I74</f>
        <v>0</v>
      </c>
      <c r="J70" s="3">
        <f>+EDITABLE!J74</f>
        <v>0</v>
      </c>
      <c r="K70" s="2">
        <f>+EDITABLE!K74</f>
        <v>0</v>
      </c>
      <c r="L70" s="24">
        <f>+EDITABLE!L74</f>
        <v>0</v>
      </c>
    </row>
    <row r="71" spans="1:13" x14ac:dyDescent="0.25">
      <c r="A71" s="3" t="str">
        <f>+EDITABLE!A74</f>
        <v/>
      </c>
      <c r="B71" s="6">
        <f>+EDITABLE!B75</f>
        <v>0</v>
      </c>
      <c r="C71" s="3">
        <f>+EDITABLE!C75</f>
        <v>0</v>
      </c>
      <c r="D71" s="3">
        <f>+EDITABLE!D75</f>
        <v>0</v>
      </c>
      <c r="E71" s="3">
        <f>+EDITABLE!E75</f>
        <v>0</v>
      </c>
      <c r="F71" s="3">
        <f>+EDITABLE!F75</f>
        <v>0</v>
      </c>
      <c r="G71" s="5">
        <f>+EDITABLE!G75</f>
        <v>0</v>
      </c>
      <c r="H71" s="3">
        <f>+EDITABLE!H75</f>
        <v>0</v>
      </c>
      <c r="I71" s="3">
        <f>+EDITABLE!I75</f>
        <v>0</v>
      </c>
      <c r="J71" s="3">
        <f>+EDITABLE!J75</f>
        <v>0</v>
      </c>
      <c r="K71" s="2">
        <f>+EDITABLE!K75</f>
        <v>0</v>
      </c>
      <c r="L71" s="24">
        <f>+EDITABLE!L75</f>
        <v>0</v>
      </c>
    </row>
    <row r="72" spans="1:13" x14ac:dyDescent="0.25">
      <c r="A72" s="3" t="str">
        <f>+EDITABLE!A77</f>
        <v>CPUAULA-E1</v>
      </c>
      <c r="B72" s="6">
        <f>+EDITABLE!B77</f>
        <v>1</v>
      </c>
      <c r="C72" s="3" t="str">
        <f>+EDITABLE!C77</f>
        <v>CPU</v>
      </c>
      <c r="D72" s="3" t="str">
        <f>+EDITABLE!D77</f>
        <v>NEGRO</v>
      </c>
      <c r="E72" s="3" t="str">
        <f>+EDITABLE!E77</f>
        <v>INS</v>
      </c>
      <c r="F72" s="3" t="str">
        <f>+EDITABLE!F77</f>
        <v>GENERICO</v>
      </c>
      <c r="G72" s="5" t="str">
        <f>+EDITABLE!G77</f>
        <v>GENERICO</v>
      </c>
      <c r="H72" s="3" t="str">
        <f>+EDITABLE!H77</f>
        <v>AULA-E1</v>
      </c>
      <c r="I72" s="3" t="str">
        <f>+EDITABLE!I77</f>
        <v>BUENO</v>
      </c>
      <c r="J72" s="3" t="str">
        <f>+EDITABLE!J77</f>
        <v>WINDOWS 8.1 ENTERPRISE, PROCESADOR: INTEL ® CORE TM i3-9100F CPU, 3.60 GHZ, RAM 4 GB, 64 BITS, INTERNET ALAMBRICO</v>
      </c>
      <c r="K72" s="2">
        <f>+EDITABLE!K77</f>
        <v>250</v>
      </c>
      <c r="L72" s="24">
        <f>+EDITABLE!L77</f>
        <v>45288</v>
      </c>
      <c r="M72">
        <v>6</v>
      </c>
    </row>
    <row r="73" spans="1:13" x14ac:dyDescent="0.25">
      <c r="A73" s="3" t="str">
        <f>+EDITABLE!A78</f>
        <v>MOUSAULA-E1</v>
      </c>
      <c r="B73" s="6">
        <f>+EDITABLE!B78</f>
        <v>1</v>
      </c>
      <c r="C73" s="3" t="str">
        <f>+EDITABLE!C78</f>
        <v>MOUSE</v>
      </c>
      <c r="D73" s="3" t="str">
        <f>+EDITABLE!D78</f>
        <v>NEGRO</v>
      </c>
      <c r="E73" s="3" t="str">
        <f>+EDITABLE!E78</f>
        <v>GENIUS</v>
      </c>
      <c r="F73" s="3" t="str">
        <f>+EDITABLE!F78</f>
        <v>GM-120014</v>
      </c>
      <c r="G73" s="5" t="str">
        <f>+EDITABLE!G78</f>
        <v>X3E86009907469</v>
      </c>
      <c r="H73" s="3" t="str">
        <f>+EDITABLE!H78</f>
        <v>AULA-E1</v>
      </c>
      <c r="I73" s="3" t="str">
        <f>+EDITABLE!I78</f>
        <v>BUENO</v>
      </c>
      <c r="J73" s="3" t="str">
        <f>+EDITABLE!J78</f>
        <v>ALAMBRICO, LED, DISEÑO ERGONÓMICO</v>
      </c>
      <c r="K73" s="2">
        <f>+EDITABLE!K78</f>
        <v>6</v>
      </c>
      <c r="L73" s="24">
        <f>+EDITABLE!L78</f>
        <v>45288</v>
      </c>
    </row>
    <row r="74" spans="1:13" x14ac:dyDescent="0.25">
      <c r="A74" s="3" t="str">
        <f>+EDITABLE!A79</f>
        <v>TECLAULA-E1</v>
      </c>
      <c r="B74" s="6">
        <f>+EDITABLE!B79</f>
        <v>1</v>
      </c>
      <c r="C74" s="3" t="str">
        <f>+EDITABLE!C79</f>
        <v>TECLADO</v>
      </c>
      <c r="D74" s="3" t="str">
        <f>+EDITABLE!D79</f>
        <v>NEGRO</v>
      </c>
      <c r="E74" s="3" t="str">
        <f>+EDITABLE!E79</f>
        <v>DELUX</v>
      </c>
      <c r="F74" s="3" t="str">
        <f>+EDITABLE!F79</f>
        <v>K5015</v>
      </c>
      <c r="G74" s="5" t="str">
        <f>+EDITABLE!G79</f>
        <v>K501541111002496</v>
      </c>
      <c r="H74" s="3" t="str">
        <f>+EDITABLE!H79</f>
        <v>AULA-E1</v>
      </c>
      <c r="I74" s="3" t="str">
        <f>+EDITABLE!I79</f>
        <v>BUENO</v>
      </c>
      <c r="J74" s="3" t="str">
        <f>+EDITABLE!J79</f>
        <v>ALAMBRICO, HERGONÓMICO, VARIOS USOS, CONECTOR USB</v>
      </c>
      <c r="K74" s="2">
        <f>+EDITABLE!K79</f>
        <v>17</v>
      </c>
      <c r="L74" s="24">
        <f>+EDITABLE!L79</f>
        <v>45288</v>
      </c>
    </row>
    <row r="75" spans="1:13" x14ac:dyDescent="0.25">
      <c r="A75" s="3" t="str">
        <f>+EDITABLE!A80</f>
        <v>PROYAULA-E1</v>
      </c>
      <c r="B75" s="6">
        <f>+EDITABLE!B80</f>
        <v>1</v>
      </c>
      <c r="C75" s="3" t="str">
        <f>+EDITABLE!C80</f>
        <v>PROYECTOR</v>
      </c>
      <c r="D75" s="3" t="str">
        <f>+EDITABLE!D80</f>
        <v>BLANCO</v>
      </c>
      <c r="E75" s="3" t="str">
        <f>+EDITABLE!E80</f>
        <v>VIEWSONIC</v>
      </c>
      <c r="F75" s="3" t="str">
        <f>+EDITABLE!F80</f>
        <v>PA503S</v>
      </c>
      <c r="G75" s="5" t="str">
        <f>+EDITABLE!G80</f>
        <v>VOR231704347</v>
      </c>
      <c r="H75" s="3" t="str">
        <f>+EDITABLE!H80</f>
        <v>AULA-E1</v>
      </c>
      <c r="I75" s="3" t="str">
        <f>+EDITABLE!I80</f>
        <v>BUENO</v>
      </c>
      <c r="J75" s="3" t="str">
        <f>+EDITABLE!J80</f>
        <v>CON PEDESTAL, CABLE HDMI DE 15 m. Y CABLE DE ENERGIA</v>
      </c>
      <c r="K75" s="2">
        <f>+EDITABLE!K80</f>
        <v>582.72</v>
      </c>
      <c r="L75" s="24">
        <f>+EDITABLE!L80</f>
        <v>45288</v>
      </c>
    </row>
    <row r="76" spans="1:13" x14ac:dyDescent="0.25">
      <c r="A76" s="3" t="str">
        <f>+EDITABLE!A81</f>
        <v>CONTAULA-E1</v>
      </c>
      <c r="B76" s="6">
        <f>+EDITABLE!B81</f>
        <v>1</v>
      </c>
      <c r="C76" s="3" t="str">
        <f>+EDITABLE!C81</f>
        <v>CONTROL PROYECTOR</v>
      </c>
      <c r="D76" s="3" t="str">
        <f>+EDITABLE!D81</f>
        <v>BLANCO</v>
      </c>
      <c r="E76" s="3" t="str">
        <f>+EDITABLE!E81</f>
        <v>VIEWSONIC</v>
      </c>
      <c r="F76" s="3" t="str">
        <f>+EDITABLE!F81</f>
        <v>Q-3101</v>
      </c>
      <c r="G76" s="5" t="str">
        <f>+EDITABLE!G81</f>
        <v>S/S</v>
      </c>
      <c r="H76" s="3" t="str">
        <f>+EDITABLE!H81</f>
        <v>AULA-E1</v>
      </c>
      <c r="I76" s="3" t="str">
        <f>+EDITABLE!I81</f>
        <v>BUENO</v>
      </c>
      <c r="J76" s="3" t="str">
        <f>+EDITABLE!J81</f>
        <v>2 PILAS AAA</v>
      </c>
      <c r="K76" s="2">
        <f>+EDITABLE!K81</f>
        <v>10</v>
      </c>
      <c r="L76" s="24">
        <f>+EDITABLE!L81</f>
        <v>45288</v>
      </c>
    </row>
    <row r="77" spans="1:13" x14ac:dyDescent="0.25">
      <c r="A77" s="3" t="str">
        <f>+EDITABLE!A82</f>
        <v>PARLAULA-E1</v>
      </c>
      <c r="B77" s="6">
        <f>+EDITABLE!B82</f>
        <v>1</v>
      </c>
      <c r="C77" s="3" t="str">
        <f>+EDITABLE!C82</f>
        <v>PARLANTES</v>
      </c>
      <c r="D77" s="3" t="str">
        <f>+EDITABLE!D82</f>
        <v>NEGRO</v>
      </c>
      <c r="E77" s="3" t="str">
        <f>+EDITABLE!E82</f>
        <v>GENERICO</v>
      </c>
      <c r="F77" s="3" t="str">
        <f>+EDITABLE!F82</f>
        <v>S/M</v>
      </c>
      <c r="G77" s="5" t="str">
        <f>+EDITABLE!G82</f>
        <v>S/S</v>
      </c>
      <c r="H77" s="3" t="str">
        <f>+EDITABLE!H82</f>
        <v>AULA-E1</v>
      </c>
      <c r="I77" s="3" t="str">
        <f>+EDITABLE!I82</f>
        <v>BUENO</v>
      </c>
      <c r="J77" s="3" t="str">
        <f>+EDITABLE!J82</f>
        <v xml:space="preserve">CON SOPORTE AEREO, CABLE DE SONIO Y CABLE DE ENERGIA, 1 BAJO Y DOS TWITER </v>
      </c>
      <c r="K77" s="2">
        <f>+EDITABLE!K82</f>
        <v>39.200000000000003</v>
      </c>
      <c r="L77" s="24">
        <f>+EDITABLE!L82</f>
        <v>45288</v>
      </c>
    </row>
    <row r="78" spans="1:13" x14ac:dyDescent="0.25">
      <c r="A78" s="3" t="str">
        <f>+EDITABLE!A83</f>
        <v>CAMAAULA-E1</v>
      </c>
      <c r="B78" s="6">
        <f>+EDITABLE!B83</f>
        <v>1</v>
      </c>
      <c r="C78" s="3" t="str">
        <f>+EDITABLE!C83</f>
        <v>CAMARA VIDEO VIGILANCIA</v>
      </c>
      <c r="D78" s="3" t="str">
        <f>+EDITABLE!D83</f>
        <v>BLANCO</v>
      </c>
      <c r="E78" s="3" t="str">
        <f>+EDITABLE!E83</f>
        <v>EZVIZ</v>
      </c>
      <c r="F78" s="3" t="str">
        <f>+EDITABLE!F83</f>
        <v>S/M</v>
      </c>
      <c r="G78" s="5" t="str">
        <f>+EDITABLE!G83</f>
        <v>S/S</v>
      </c>
      <c r="H78" s="3" t="str">
        <f>+EDITABLE!H83</f>
        <v>AULA-E1</v>
      </c>
      <c r="I78" s="3" t="str">
        <f>+EDITABLE!I83</f>
        <v>BUENO</v>
      </c>
      <c r="J78" s="3" t="str">
        <f>+EDITABLE!J83</f>
        <v>VISION EN MOVIL GIRATORIA, CON ALARMA, TARGETA MICRO DE 64 GB</v>
      </c>
      <c r="K78" s="2">
        <f>+EDITABLE!K83</f>
        <v>185.45</v>
      </c>
      <c r="L78" s="24">
        <f>+EDITABLE!L83</f>
        <v>45489</v>
      </c>
    </row>
    <row r="79" spans="1:13" x14ac:dyDescent="0.25">
      <c r="A79" s="3" t="str">
        <f>+EDITABLE!A84</f>
        <v/>
      </c>
      <c r="B79" s="6">
        <f>+EDITABLE!B84</f>
        <v>0</v>
      </c>
      <c r="C79" s="3">
        <f>+EDITABLE!C84</f>
        <v>0</v>
      </c>
      <c r="D79" s="3">
        <f>+EDITABLE!D84</f>
        <v>0</v>
      </c>
      <c r="E79" s="3">
        <f>+EDITABLE!E84</f>
        <v>0</v>
      </c>
      <c r="F79" s="3">
        <f>+EDITABLE!F84</f>
        <v>0</v>
      </c>
      <c r="G79" s="5">
        <f>+EDITABLE!G84</f>
        <v>0</v>
      </c>
      <c r="H79" s="3">
        <f>+EDITABLE!H84</f>
        <v>0</v>
      </c>
      <c r="I79" s="3">
        <f>+EDITABLE!I84</f>
        <v>0</v>
      </c>
      <c r="J79" s="3">
        <f>+EDITABLE!J84</f>
        <v>0</v>
      </c>
      <c r="K79" s="2">
        <f>+EDITABLE!K84</f>
        <v>0</v>
      </c>
      <c r="L79" s="24">
        <f>+EDITABLE!L84</f>
        <v>0</v>
      </c>
    </row>
    <row r="80" spans="1:13" x14ac:dyDescent="0.25">
      <c r="A80" s="3"/>
      <c r="B80" s="6">
        <f>+EDITABLE!B85</f>
        <v>0</v>
      </c>
      <c r="C80" s="3">
        <f>+EDITABLE!C85</f>
        <v>0</v>
      </c>
      <c r="D80" s="3">
        <f>+EDITABLE!D85</f>
        <v>0</v>
      </c>
      <c r="E80" s="3">
        <f>+EDITABLE!E85</f>
        <v>0</v>
      </c>
      <c r="F80" s="3">
        <f>+EDITABLE!F85</f>
        <v>0</v>
      </c>
      <c r="G80" s="5">
        <f>+EDITABLE!G85</f>
        <v>0</v>
      </c>
      <c r="H80" s="3">
        <f>+EDITABLE!H85</f>
        <v>0</v>
      </c>
      <c r="I80" s="3">
        <f>+EDITABLE!I85</f>
        <v>0</v>
      </c>
      <c r="J80" s="3">
        <f>+EDITABLE!J85</f>
        <v>0</v>
      </c>
      <c r="K80" s="2">
        <f>+EDITABLE!K85</f>
        <v>0</v>
      </c>
      <c r="L80" s="24">
        <f>+EDITABLE!L85</f>
        <v>0</v>
      </c>
    </row>
    <row r="81" spans="1:13" x14ac:dyDescent="0.25">
      <c r="A81" s="3" t="str">
        <f>+EDITABLE!A85</f>
        <v/>
      </c>
      <c r="B81" s="6">
        <f>+EDITABLE!B86</f>
        <v>0</v>
      </c>
      <c r="C81" s="3">
        <f>+EDITABLE!C86</f>
        <v>0</v>
      </c>
      <c r="D81" s="3">
        <f>+EDITABLE!D86</f>
        <v>0</v>
      </c>
      <c r="E81" s="3">
        <f>+EDITABLE!E86</f>
        <v>0</v>
      </c>
      <c r="F81" s="3">
        <f>+EDITABLE!F86</f>
        <v>0</v>
      </c>
      <c r="G81" s="5">
        <f>+EDITABLE!G86</f>
        <v>0</v>
      </c>
      <c r="H81" s="3">
        <f>+EDITABLE!H86</f>
        <v>0</v>
      </c>
      <c r="I81" s="3">
        <f>+EDITABLE!I86</f>
        <v>0</v>
      </c>
      <c r="J81" s="3">
        <f>+EDITABLE!J86</f>
        <v>0</v>
      </c>
      <c r="K81" s="2">
        <f>+EDITABLE!K86</f>
        <v>0</v>
      </c>
      <c r="L81" s="24">
        <f>+EDITABLE!L86</f>
        <v>0</v>
      </c>
    </row>
    <row r="82" spans="1:13" x14ac:dyDescent="0.25">
      <c r="A82" s="3" t="str">
        <f>+EDITABLE!A88</f>
        <v>CPUAULA-E3</v>
      </c>
      <c r="B82" s="6">
        <f>+EDITABLE!B88</f>
        <v>1</v>
      </c>
      <c r="C82" s="3" t="str">
        <f>+EDITABLE!C88</f>
        <v>CPU</v>
      </c>
      <c r="D82" s="3" t="str">
        <f>+EDITABLE!D88</f>
        <v>NEGRO</v>
      </c>
      <c r="E82" s="3" t="str">
        <f>+EDITABLE!E88</f>
        <v>INS</v>
      </c>
      <c r="F82" s="3" t="str">
        <f>+EDITABLE!F88</f>
        <v>GENERICO</v>
      </c>
      <c r="G82" s="5">
        <f>+EDITABLE!G88</f>
        <v>10020122019</v>
      </c>
      <c r="H82" s="3" t="str">
        <f>+EDITABLE!H88</f>
        <v>AULA-E3</v>
      </c>
      <c r="I82" s="3" t="str">
        <f>+EDITABLE!I88</f>
        <v>BUENO</v>
      </c>
      <c r="J82" s="3" t="str">
        <f>+EDITABLE!J88</f>
        <v>WINDOWS 8.1 ENTERPRISE, PROCESADOR: INTEL ® CORE TM i3-9100F CPU, 3.60 GHZ, RAM 4 GB, 64 BITS, INTERNET ALAMBRICO</v>
      </c>
      <c r="K82" s="2">
        <f>+EDITABLE!K88</f>
        <v>250</v>
      </c>
      <c r="L82" s="24">
        <f>+EDITABLE!L88</f>
        <v>45288</v>
      </c>
      <c r="M82">
        <v>7</v>
      </c>
    </row>
    <row r="83" spans="1:13" x14ac:dyDescent="0.25">
      <c r="A83" s="3" t="str">
        <f>+EDITABLE!A89</f>
        <v>MOUSAULA-E3</v>
      </c>
      <c r="B83" s="6">
        <f>+EDITABLE!B89</f>
        <v>1</v>
      </c>
      <c r="C83" s="3" t="str">
        <f>+EDITABLE!C89</f>
        <v>MOUSE</v>
      </c>
      <c r="D83" s="3" t="str">
        <f>+EDITABLE!D89</f>
        <v>NEGRO/BLANCO</v>
      </c>
      <c r="E83" s="3" t="str">
        <f>+EDITABLE!E89</f>
        <v>HAVIC</v>
      </c>
      <c r="F83" s="3" t="str">
        <f>+EDITABLE!F89</f>
        <v>HV-M8000</v>
      </c>
      <c r="G83" s="5" t="str">
        <f>+EDITABLE!G89</f>
        <v>MS11M8000XM04762</v>
      </c>
      <c r="H83" s="3" t="str">
        <f>+EDITABLE!H89</f>
        <v>AULA-E3</v>
      </c>
      <c r="I83" s="3" t="str">
        <f>+EDITABLE!I89</f>
        <v>BUENO</v>
      </c>
      <c r="J83" s="3" t="str">
        <f>+EDITABLE!J89</f>
        <v>ALAMBRICO, LED, DISEÑO ERGON+OMICO COMPACTO</v>
      </c>
      <c r="K83" s="2">
        <f>+EDITABLE!K89</f>
        <v>6</v>
      </c>
      <c r="L83" s="24">
        <f>+EDITABLE!L89</f>
        <v>45288</v>
      </c>
    </row>
    <row r="84" spans="1:13" x14ac:dyDescent="0.25">
      <c r="A84" s="3" t="str">
        <f>+EDITABLE!A90</f>
        <v>TECLAULA-E3</v>
      </c>
      <c r="B84" s="6">
        <f>+EDITABLE!B90</f>
        <v>1</v>
      </c>
      <c r="C84" s="3" t="str">
        <f>+EDITABLE!C90</f>
        <v>TECLADO</v>
      </c>
      <c r="D84" s="3" t="str">
        <f>+EDITABLE!D90</f>
        <v>NEGRO</v>
      </c>
      <c r="E84" s="3" t="str">
        <f>+EDITABLE!E90</f>
        <v>INS</v>
      </c>
      <c r="F84" s="3" t="str">
        <f>+EDITABLE!F90</f>
        <v>GENERICO</v>
      </c>
      <c r="G84" s="5" t="str">
        <f>+EDITABLE!G90</f>
        <v>420050902802</v>
      </c>
      <c r="H84" s="3" t="str">
        <f>+EDITABLE!H90</f>
        <v>AULA-E3</v>
      </c>
      <c r="I84" s="3" t="str">
        <f>+EDITABLE!I90</f>
        <v>BUENO</v>
      </c>
      <c r="J84" s="3" t="str">
        <f>+EDITABLE!J90</f>
        <v>ALAMBRICO, HERGONÓMICO, CONECTOR USB, CON TECLADO NUMÉRICO</v>
      </c>
      <c r="K84" s="2">
        <f>+EDITABLE!K90</f>
        <v>16.7</v>
      </c>
      <c r="L84" s="24">
        <f>+EDITABLE!L90</f>
        <v>45288</v>
      </c>
    </row>
    <row r="85" spans="1:13" x14ac:dyDescent="0.25">
      <c r="A85" s="3" t="str">
        <f>+EDITABLE!A91</f>
        <v>PROYAULA-E3</v>
      </c>
      <c r="B85" s="6">
        <f>+EDITABLE!B91</f>
        <v>1</v>
      </c>
      <c r="C85" s="3" t="str">
        <f>+EDITABLE!C91</f>
        <v>PROYECTOR</v>
      </c>
      <c r="D85" s="3" t="str">
        <f>+EDITABLE!D91</f>
        <v>BLANCO</v>
      </c>
      <c r="E85" s="3" t="str">
        <f>+EDITABLE!E91</f>
        <v>VIEWSONIC</v>
      </c>
      <c r="F85" s="3" t="str">
        <f>+EDITABLE!F91</f>
        <v>PA503S</v>
      </c>
      <c r="G85" s="5" t="str">
        <f>+EDITABLE!G91</f>
        <v>VOR231704317</v>
      </c>
      <c r="H85" s="3" t="str">
        <f>+EDITABLE!H91</f>
        <v>AULA-E3</v>
      </c>
      <c r="I85" s="3" t="str">
        <f>+EDITABLE!I91</f>
        <v>BUENO</v>
      </c>
      <c r="J85" s="3" t="str">
        <f>+EDITABLE!J91</f>
        <v>CON PEDESTAL, CABLE HDMI DE 15 m. Y CABLE DE ENERGIA</v>
      </c>
      <c r="K85" s="2">
        <f>+EDITABLE!K91</f>
        <v>582.72</v>
      </c>
      <c r="L85" s="24">
        <f>+EDITABLE!L91</f>
        <v>45288</v>
      </c>
    </row>
    <row r="86" spans="1:13" x14ac:dyDescent="0.25">
      <c r="A86" s="3" t="str">
        <f>+EDITABLE!A92</f>
        <v>CONTAULA-E3</v>
      </c>
      <c r="B86" s="6">
        <f>+EDITABLE!B92</f>
        <v>1</v>
      </c>
      <c r="C86" s="3" t="str">
        <f>+EDITABLE!C92</f>
        <v>CONTROL PROYECTOR</v>
      </c>
      <c r="D86" s="3" t="str">
        <f>+EDITABLE!D92</f>
        <v>BLANCO</v>
      </c>
      <c r="E86" s="3" t="str">
        <f>+EDITABLE!E92</f>
        <v>VIEWSONIC</v>
      </c>
      <c r="F86" s="3" t="str">
        <f>+EDITABLE!F92</f>
        <v>Q-3101</v>
      </c>
      <c r="G86" s="5" t="str">
        <f>+EDITABLE!G92</f>
        <v>S/S</v>
      </c>
      <c r="H86" s="3" t="str">
        <f>+EDITABLE!H92</f>
        <v>AULA-E3</v>
      </c>
      <c r="I86" s="3" t="str">
        <f>+EDITABLE!I92</f>
        <v>BUENO</v>
      </c>
      <c r="J86" s="3" t="str">
        <f>+EDITABLE!J92</f>
        <v>2 PILAS AAA</v>
      </c>
      <c r="K86" s="2">
        <f>+EDITABLE!K92</f>
        <v>10</v>
      </c>
      <c r="L86" s="24">
        <f>+EDITABLE!L92</f>
        <v>45288</v>
      </c>
    </row>
    <row r="87" spans="1:13" x14ac:dyDescent="0.25">
      <c r="A87" s="3" t="str">
        <f>+EDITABLE!A93</f>
        <v>PARLAULA-E3</v>
      </c>
      <c r="B87" s="6">
        <f>+EDITABLE!B93</f>
        <v>1</v>
      </c>
      <c r="C87" s="3" t="str">
        <f>+EDITABLE!C93</f>
        <v>PARLANTES</v>
      </c>
      <c r="D87" s="3" t="str">
        <f>+EDITABLE!D93</f>
        <v>NEGRO</v>
      </c>
      <c r="E87" s="3" t="str">
        <f>+EDITABLE!E93</f>
        <v>GENERICO</v>
      </c>
      <c r="F87" s="3" t="str">
        <f>+EDITABLE!F93</f>
        <v>S/M</v>
      </c>
      <c r="G87" s="5" t="str">
        <f>+EDITABLE!G93</f>
        <v>S/S</v>
      </c>
      <c r="H87" s="3" t="str">
        <f>+EDITABLE!H93</f>
        <v>AULA-E3</v>
      </c>
      <c r="I87" s="3" t="str">
        <f>+EDITABLE!I93</f>
        <v>BUENO</v>
      </c>
      <c r="J87" s="3" t="str">
        <f>+EDITABLE!J93</f>
        <v xml:space="preserve">CON SOPORTE AEREO, CABLE DE SONIO Y CABLE DE ENERGIA, 1 BAJO Y DOS TWITER </v>
      </c>
      <c r="K87" s="2">
        <f>+EDITABLE!K93</f>
        <v>39.200000000000003</v>
      </c>
      <c r="L87" s="24">
        <f>+EDITABLE!L93</f>
        <v>45288</v>
      </c>
    </row>
    <row r="88" spans="1:13" x14ac:dyDescent="0.25">
      <c r="A88" s="3" t="str">
        <f>+EDITABLE!A94</f>
        <v>CAMAAULA-E3</v>
      </c>
      <c r="B88" s="6">
        <f>+EDITABLE!B94</f>
        <v>1</v>
      </c>
      <c r="C88" s="3" t="str">
        <f>+EDITABLE!C94</f>
        <v>CAMARA VIDEO VIGILANCIA</v>
      </c>
      <c r="D88" s="3" t="str">
        <f>+EDITABLE!D94</f>
        <v>BLANCO</v>
      </c>
      <c r="E88" s="3" t="str">
        <f>+EDITABLE!E94</f>
        <v>HIKVISION</v>
      </c>
      <c r="F88" s="3" t="str">
        <f>+EDITABLE!F94</f>
        <v>S/M</v>
      </c>
      <c r="G88" s="5" t="str">
        <f>+EDITABLE!G94</f>
        <v>S/S</v>
      </c>
      <c r="H88" s="3" t="str">
        <f>+EDITABLE!H94</f>
        <v>AULA-E3</v>
      </c>
      <c r="I88" s="3" t="str">
        <f>+EDITABLE!I94</f>
        <v>BUENO</v>
      </c>
      <c r="J88" s="3" t="str">
        <f>+EDITABLE!J94</f>
        <v>CONECTADA AL DVR Y VISION EN MOVIL Y CUARTO DE RED</v>
      </c>
      <c r="K88" s="2">
        <f>+EDITABLE!K94</f>
        <v>25</v>
      </c>
      <c r="L88" s="24">
        <f>+EDITABLE!L94</f>
        <v>45288</v>
      </c>
    </row>
    <row r="89" spans="1:13" x14ac:dyDescent="0.25">
      <c r="A89" s="3" t="str">
        <f>+EDITABLE!A95</f>
        <v/>
      </c>
      <c r="B89" s="6">
        <f>+EDITABLE!B95</f>
        <v>0</v>
      </c>
      <c r="C89" s="3">
        <f>+EDITABLE!C95</f>
        <v>0</v>
      </c>
      <c r="D89" s="3">
        <f>+EDITABLE!D95</f>
        <v>0</v>
      </c>
      <c r="E89" s="3">
        <f>+EDITABLE!E95</f>
        <v>0</v>
      </c>
      <c r="F89" s="3">
        <f>+EDITABLE!F95</f>
        <v>0</v>
      </c>
      <c r="G89" s="5">
        <f>+EDITABLE!G95</f>
        <v>0</v>
      </c>
      <c r="H89" s="3">
        <f>+EDITABLE!H95</f>
        <v>0</v>
      </c>
      <c r="I89" s="3">
        <f>+EDITABLE!I95</f>
        <v>0</v>
      </c>
      <c r="J89" s="3">
        <f>+EDITABLE!J95</f>
        <v>0</v>
      </c>
      <c r="K89" s="2">
        <f>+EDITABLE!K95</f>
        <v>0</v>
      </c>
      <c r="L89" s="24">
        <f>+EDITABLE!L95</f>
        <v>0</v>
      </c>
    </row>
    <row r="90" spans="1:13" x14ac:dyDescent="0.25">
      <c r="A90" s="3"/>
      <c r="B90" s="6">
        <f>+EDITABLE!B96</f>
        <v>0</v>
      </c>
      <c r="C90" s="3">
        <f>+EDITABLE!C96</f>
        <v>0</v>
      </c>
      <c r="D90" s="3">
        <f>+EDITABLE!D96</f>
        <v>0</v>
      </c>
      <c r="E90" s="3">
        <f>+EDITABLE!E96</f>
        <v>0</v>
      </c>
      <c r="F90" s="3">
        <f>+EDITABLE!F96</f>
        <v>0</v>
      </c>
      <c r="G90" s="5">
        <f>+EDITABLE!G96</f>
        <v>0</v>
      </c>
      <c r="H90" s="3">
        <f>+EDITABLE!H96</f>
        <v>0</v>
      </c>
      <c r="I90" s="3">
        <f>+EDITABLE!I96</f>
        <v>0</v>
      </c>
      <c r="J90" s="3">
        <f>+EDITABLE!J96</f>
        <v>0</v>
      </c>
      <c r="K90" s="2">
        <f>+EDITABLE!K96</f>
        <v>0</v>
      </c>
      <c r="L90" s="24">
        <f>+EDITABLE!L96</f>
        <v>0</v>
      </c>
    </row>
    <row r="91" spans="1:13" x14ac:dyDescent="0.25">
      <c r="A91" s="3" t="str">
        <f>+EDITABLE!A96</f>
        <v/>
      </c>
      <c r="B91" s="6">
        <f>+EDITABLE!B97</f>
        <v>0</v>
      </c>
      <c r="C91" s="3">
        <f>+EDITABLE!C97</f>
        <v>0</v>
      </c>
      <c r="D91" s="3">
        <f>+EDITABLE!D97</f>
        <v>0</v>
      </c>
      <c r="E91" s="3">
        <f>+EDITABLE!E97</f>
        <v>0</v>
      </c>
      <c r="F91" s="3">
        <f>+EDITABLE!F97</f>
        <v>0</v>
      </c>
      <c r="G91" s="5">
        <f>+EDITABLE!G97</f>
        <v>0</v>
      </c>
      <c r="H91" s="3">
        <f>+EDITABLE!H97</f>
        <v>0</v>
      </c>
      <c r="I91" s="3">
        <f>+EDITABLE!I97</f>
        <v>0</v>
      </c>
      <c r="J91" s="3">
        <f>+EDITABLE!J97</f>
        <v>0</v>
      </c>
      <c r="K91" s="2">
        <f>+EDITABLE!K97</f>
        <v>0</v>
      </c>
      <c r="L91" s="24">
        <f>+EDITABLE!L97</f>
        <v>0</v>
      </c>
      <c r="M91">
        <v>8</v>
      </c>
    </row>
    <row r="92" spans="1:13" x14ac:dyDescent="0.25">
      <c r="A92" s="3" t="str">
        <f>+EDITABLE!A99</f>
        <v>CAMASALON DE</v>
      </c>
      <c r="B92" s="6">
        <f>+EDITABLE!B99</f>
        <v>1</v>
      </c>
      <c r="C92" s="3" t="str">
        <f>+EDITABLE!C99</f>
        <v>CAMARA VIDEO VIGILANCIA</v>
      </c>
      <c r="D92" s="3" t="str">
        <f>+EDITABLE!D99</f>
        <v>BLANCO</v>
      </c>
      <c r="E92" s="3" t="str">
        <f>+EDITABLE!E99</f>
        <v>GENERICA</v>
      </c>
      <c r="F92" s="3" t="str">
        <f>+EDITABLE!F99</f>
        <v>GENERICO</v>
      </c>
      <c r="G92" s="5" t="str">
        <f>+EDITABLE!G99</f>
        <v>GENERICA</v>
      </c>
      <c r="H92" s="3" t="str">
        <f>+EDITABLE!H99</f>
        <v>SALON DE ACTOS</v>
      </c>
      <c r="I92" s="3" t="str">
        <f>+EDITABLE!I99</f>
        <v>BUENO</v>
      </c>
      <c r="J92" s="3" t="str">
        <f>+EDITABLE!J99</f>
        <v>VISION EN MOVIL GIRATORIA, CON ALARMA</v>
      </c>
      <c r="K92" s="2">
        <f>+EDITABLE!K99</f>
        <v>25</v>
      </c>
      <c r="L92" s="24">
        <f>+EDITABLE!L99</f>
        <v>44841</v>
      </c>
    </row>
    <row r="93" spans="1:13" x14ac:dyDescent="0.25">
      <c r="A93" s="3" t="str">
        <f>+EDITABLE!A100</f>
        <v>MODESALON DE</v>
      </c>
      <c r="B93" s="6">
        <f>+EDITABLE!B100</f>
        <v>1</v>
      </c>
      <c r="C93" s="3" t="str">
        <f>+EDITABLE!C100</f>
        <v>MODEM WIFI</v>
      </c>
      <c r="D93" s="3" t="str">
        <f>+EDITABLE!D100</f>
        <v>BLANCO</v>
      </c>
      <c r="E93" s="3" t="str">
        <f>+EDITABLE!E100</f>
        <v>TP-LINK</v>
      </c>
      <c r="F93" s="3" t="str">
        <f>+EDITABLE!F100</f>
        <v>TL-WR841N(ES)</v>
      </c>
      <c r="G93" s="5" t="str">
        <f>+EDITABLE!G100</f>
        <v>220C292002527</v>
      </c>
      <c r="H93" s="3" t="str">
        <f>+EDITABLE!H100</f>
        <v>SALON DE ACTOS</v>
      </c>
      <c r="I93" s="3" t="str">
        <f>+EDITABLE!I100</f>
        <v>BUENO</v>
      </c>
      <c r="J93" s="3" t="str">
        <f>+EDITABLE!J100</f>
        <v>DOS ANTENAS, 5 PUERTOS RJ45</v>
      </c>
      <c r="K93" s="2">
        <f>+EDITABLE!K100</f>
        <v>80</v>
      </c>
      <c r="L93" s="24">
        <f>+EDITABLE!L100</f>
        <v>44636</v>
      </c>
    </row>
    <row r="94" spans="1:13" x14ac:dyDescent="0.25">
      <c r="A94" s="3" t="str">
        <f>+EDITABLE!A101</f>
        <v/>
      </c>
      <c r="B94" s="6">
        <f>+EDITABLE!B101</f>
        <v>0</v>
      </c>
      <c r="C94" s="3">
        <f>+EDITABLE!C101</f>
        <v>0</v>
      </c>
      <c r="D94" s="3">
        <f>+EDITABLE!D101</f>
        <v>0</v>
      </c>
      <c r="E94" s="3">
        <f>+EDITABLE!E101</f>
        <v>0</v>
      </c>
      <c r="F94" s="3">
        <f>+EDITABLE!F101</f>
        <v>0</v>
      </c>
      <c r="G94" s="5">
        <f>+EDITABLE!G101</f>
        <v>0</v>
      </c>
      <c r="H94" s="3">
        <f>+EDITABLE!H101</f>
        <v>0</v>
      </c>
      <c r="I94" s="3">
        <f>+EDITABLE!I101</f>
        <v>0</v>
      </c>
      <c r="J94" s="3">
        <f>+EDITABLE!J101</f>
        <v>0</v>
      </c>
      <c r="K94" s="2">
        <f>+EDITABLE!K101</f>
        <v>0</v>
      </c>
      <c r="L94" s="24">
        <f>+EDITABLE!L101</f>
        <v>0</v>
      </c>
    </row>
    <row r="95" spans="1:13" x14ac:dyDescent="0.25">
      <c r="A95" s="3"/>
      <c r="B95" s="6">
        <f>+EDITABLE!B102</f>
        <v>0</v>
      </c>
      <c r="C95" s="3">
        <f>+EDITABLE!C102</f>
        <v>0</v>
      </c>
      <c r="D95" s="3">
        <f>+EDITABLE!D102</f>
        <v>0</v>
      </c>
      <c r="E95" s="3">
        <f>+EDITABLE!E102</f>
        <v>0</v>
      </c>
      <c r="F95" s="3">
        <f>+EDITABLE!F102</f>
        <v>0</v>
      </c>
      <c r="G95" s="5">
        <f>+EDITABLE!G102</f>
        <v>0</v>
      </c>
      <c r="H95" s="3">
        <f>+EDITABLE!H102</f>
        <v>0</v>
      </c>
      <c r="I95" s="3">
        <f>+EDITABLE!I102</f>
        <v>0</v>
      </c>
      <c r="J95" s="3">
        <f>+EDITABLE!J102</f>
        <v>0</v>
      </c>
      <c r="K95" s="2">
        <f>+EDITABLE!K102</f>
        <v>0</v>
      </c>
      <c r="L95" s="24">
        <f>+EDITABLE!L102</f>
        <v>0</v>
      </c>
    </row>
    <row r="96" spans="1:13" x14ac:dyDescent="0.25">
      <c r="A96" s="3" t="str">
        <f>+EDITABLE!A102</f>
        <v/>
      </c>
      <c r="B96" s="6">
        <f>+EDITABLE!B103</f>
        <v>0</v>
      </c>
      <c r="C96" s="3">
        <f>+EDITABLE!C103</f>
        <v>0</v>
      </c>
      <c r="D96" s="3">
        <f>+EDITABLE!D103</f>
        <v>0</v>
      </c>
      <c r="E96" s="3">
        <f>+EDITABLE!E103</f>
        <v>0</v>
      </c>
      <c r="F96" s="3">
        <f>+EDITABLE!F103</f>
        <v>0</v>
      </c>
      <c r="G96" s="5">
        <f>+EDITABLE!G103</f>
        <v>0</v>
      </c>
      <c r="H96" s="3">
        <f>+EDITABLE!H103</f>
        <v>0</v>
      </c>
      <c r="I96" s="3">
        <f>+EDITABLE!I103</f>
        <v>0</v>
      </c>
      <c r="J96" s="3">
        <f>+EDITABLE!J103</f>
        <v>0</v>
      </c>
      <c r="K96" s="2">
        <f>+EDITABLE!K103</f>
        <v>0</v>
      </c>
      <c r="L96" s="24">
        <f>+EDITABLE!L103</f>
        <v>0</v>
      </c>
    </row>
    <row r="97" spans="1:13" x14ac:dyDescent="0.25">
      <c r="A97" s="3" t="str">
        <f>+EDITABLE!A105</f>
        <v>MINIPSICOSEN</v>
      </c>
      <c r="B97" s="6">
        <f>+EDITABLE!B105</f>
        <v>1</v>
      </c>
      <c r="C97" s="3" t="str">
        <f>+EDITABLE!C105</f>
        <v>MINI CPU NUC</v>
      </c>
      <c r="D97" s="3" t="str">
        <f>+EDITABLE!D105</f>
        <v>NEGRO</v>
      </c>
      <c r="E97" s="3" t="str">
        <f>+EDITABLE!E105</f>
        <v>INTEL</v>
      </c>
      <c r="F97" s="3" t="str">
        <f>+EDITABLE!F105</f>
        <v>G6AY109001VH</v>
      </c>
      <c r="G97" s="5" t="str">
        <f>+EDITABLE!G105</f>
        <v>PROYECT CODE NUC6CAYH</v>
      </c>
      <c r="H97" s="3" t="str">
        <f>+EDITABLE!H105</f>
        <v>PSICOSENSOMÉTRICO 1</v>
      </c>
      <c r="I97" s="3" t="str">
        <f>+EDITABLE!I105</f>
        <v>BUENO</v>
      </c>
      <c r="J97" s="3" t="str">
        <f>+EDITABLE!J105</f>
        <v>CONECTADO TODOS LOS DISPOSITIVOS DEL EQUIPO E INSTALADO EL SOFTWARE PARA PRUEBAS DEL BIOMÉTRICO</v>
      </c>
      <c r="K97" s="2">
        <f>+EDITABLE!K105</f>
        <v>7840</v>
      </c>
      <c r="L97" s="24">
        <f>+EDITABLE!L105</f>
        <v>45342</v>
      </c>
      <c r="M97">
        <v>9</v>
      </c>
    </row>
    <row r="98" spans="1:13" x14ac:dyDescent="0.25">
      <c r="A98" s="3" t="str">
        <f>+EDITABLE!A106</f>
        <v>MONIPSICOSEN</v>
      </c>
      <c r="B98" s="6">
        <f>+EDITABLE!B106</f>
        <v>1</v>
      </c>
      <c r="C98" s="3" t="str">
        <f>+EDITABLE!C106</f>
        <v>MONITOR</v>
      </c>
      <c r="D98" s="3" t="str">
        <f>+EDITABLE!D106</f>
        <v>NEGRO</v>
      </c>
      <c r="E98" s="3" t="str">
        <f>+EDITABLE!E106</f>
        <v>LG</v>
      </c>
      <c r="F98" s="3" t="str">
        <f>+EDITABLE!F106</f>
        <v>20MK400H-B</v>
      </c>
      <c r="G98" s="5" t="str">
        <f>+EDITABLE!G106</f>
        <v>012NTCZDP579</v>
      </c>
      <c r="H98" s="3" t="str">
        <f>+EDITABLE!H106</f>
        <v>PSICOSENSOMÉTRICO 1</v>
      </c>
      <c r="I98" s="3" t="str">
        <f>+EDITABLE!I106</f>
        <v>BUENO</v>
      </c>
      <c r="J98" s="3" t="str">
        <f>+EDITABLE!J106</f>
        <v>19" PARA VISUALIZACIÓN DE DATOS DEL USUARIO</v>
      </c>
      <c r="K98" s="2">
        <f>+EDITABLE!K106</f>
        <v>0</v>
      </c>
      <c r="L98" s="24">
        <f>+EDITABLE!L106</f>
        <v>45342</v>
      </c>
    </row>
    <row r="99" spans="1:13" x14ac:dyDescent="0.25">
      <c r="A99" s="3" t="str">
        <f>+EDITABLE!A107</f>
        <v>MONIPSICOSEN</v>
      </c>
      <c r="B99" s="6">
        <f>+EDITABLE!B107</f>
        <v>1</v>
      </c>
      <c r="C99" s="3" t="str">
        <f>+EDITABLE!C107</f>
        <v>MONITOR</v>
      </c>
      <c r="D99" s="3" t="str">
        <f>+EDITABLE!D107</f>
        <v>NEGRO</v>
      </c>
      <c r="E99" s="3" t="str">
        <f>+EDITABLE!E107</f>
        <v>LG</v>
      </c>
      <c r="F99" s="3" t="str">
        <f>+EDITABLE!F107</f>
        <v>20MK400H-B</v>
      </c>
      <c r="G99" s="5" t="str">
        <f>+EDITABLE!G107</f>
        <v>012NTFADP643</v>
      </c>
      <c r="H99" s="3" t="str">
        <f>+EDITABLE!H107</f>
        <v>PSICOSENSOMÉTRICO 1</v>
      </c>
      <c r="I99" s="3" t="str">
        <f>+EDITABLE!I107</f>
        <v>BUENO</v>
      </c>
      <c r="J99" s="3" t="str">
        <f>+EDITABLE!J107</f>
        <v>19" PARA VISUALIZACIÓN DE DATOS DEL EXAMINADOR</v>
      </c>
      <c r="K99" s="2">
        <f>+EDITABLE!K107</f>
        <v>0</v>
      </c>
      <c r="L99" s="24">
        <f>+EDITABLE!L107</f>
        <v>45342</v>
      </c>
    </row>
    <row r="100" spans="1:13" x14ac:dyDescent="0.25">
      <c r="A100" s="3" t="str">
        <f>+EDITABLE!A108</f>
        <v>MOUSPSICOSEN</v>
      </c>
      <c r="B100" s="6">
        <f>+EDITABLE!B108</f>
        <v>1</v>
      </c>
      <c r="C100" s="3" t="str">
        <f>+EDITABLE!C108</f>
        <v>MOUSE</v>
      </c>
      <c r="D100" s="3" t="str">
        <f>+EDITABLE!D108</f>
        <v>NEGRO</v>
      </c>
      <c r="E100" s="3" t="str">
        <f>+EDITABLE!E108</f>
        <v>QUASAD</v>
      </c>
      <c r="F100" s="3" t="str">
        <f>+EDITABLE!F108</f>
        <v>QKM-5100G</v>
      </c>
      <c r="G100" s="5" t="str">
        <f>+EDITABLE!G108</f>
        <v>GENÉRICO</v>
      </c>
      <c r="H100" s="3" t="str">
        <f>+EDITABLE!H108</f>
        <v>PSICOSENSOMÉTRICO 1</v>
      </c>
      <c r="I100" s="3" t="str">
        <f>+EDITABLE!I108</f>
        <v>BUENO</v>
      </c>
      <c r="J100" s="3" t="str">
        <f>+EDITABLE!J108</f>
        <v>MOUSE WIRELESS 1.5V, INALAMBRICO</v>
      </c>
      <c r="K100" s="2">
        <f>+EDITABLE!K108</f>
        <v>0</v>
      </c>
      <c r="L100" s="24">
        <f>+EDITABLE!L108</f>
        <v>45342</v>
      </c>
    </row>
    <row r="101" spans="1:13" x14ac:dyDescent="0.25">
      <c r="A101" s="3" t="str">
        <f>+EDITABLE!A109</f>
        <v>HUB PSICOSEN</v>
      </c>
      <c r="B101" s="6">
        <f>+EDITABLE!B109</f>
        <v>1</v>
      </c>
      <c r="C101" s="3" t="str">
        <f>+EDITABLE!C109</f>
        <v>HUB USB</v>
      </c>
      <c r="D101" s="3" t="str">
        <f>+EDITABLE!D109</f>
        <v>BLANCO</v>
      </c>
      <c r="E101" s="3" t="str">
        <f>+EDITABLE!E109</f>
        <v>INS</v>
      </c>
      <c r="F101" s="3" t="str">
        <f>+EDITABLE!F109</f>
        <v>GENÉRICO</v>
      </c>
      <c r="G101" s="5" t="str">
        <f>+EDITABLE!G109</f>
        <v>GENÉRICO</v>
      </c>
      <c r="H101" s="3" t="str">
        <f>+EDITABLE!H109</f>
        <v>PSICOSENSOMÉTRICO 1</v>
      </c>
      <c r="I101" s="3" t="str">
        <f>+EDITABLE!I109</f>
        <v>BUENO</v>
      </c>
      <c r="J101" s="3" t="str">
        <f>+EDITABLE!J109</f>
        <v>DOS PUERTOS HABILITADOS</v>
      </c>
      <c r="K101" s="2">
        <f>+EDITABLE!K109</f>
        <v>0</v>
      </c>
      <c r="L101" s="24">
        <f>+EDITABLE!L109</f>
        <v>45342</v>
      </c>
    </row>
    <row r="102" spans="1:13" x14ac:dyDescent="0.25">
      <c r="A102" s="3" t="str">
        <f>+EDITABLE!A110</f>
        <v>REGUPSICOSEN</v>
      </c>
      <c r="B102" s="6">
        <f>+EDITABLE!B110</f>
        <v>1</v>
      </c>
      <c r="C102" s="3" t="str">
        <f>+EDITABLE!C110</f>
        <v>REGULADOR DE VOLTAJE</v>
      </c>
      <c r="D102" s="3" t="str">
        <f>+EDITABLE!D110</f>
        <v>NEGRO</v>
      </c>
      <c r="E102" s="3" t="str">
        <f>+EDITABLE!E110</f>
        <v>SPEEDMEEN</v>
      </c>
      <c r="F102" s="3" t="str">
        <f>+EDITABLE!F110</f>
        <v>SMREG 1200W</v>
      </c>
      <c r="G102" s="5" t="str">
        <f>+EDITABLE!G110</f>
        <v>20REG1200021022</v>
      </c>
      <c r="H102" s="3" t="str">
        <f>+EDITABLE!H110</f>
        <v>PSICOSENSOMÉTRICO 1</v>
      </c>
      <c r="I102" s="3" t="str">
        <f>+EDITABLE!I110</f>
        <v>BUENO</v>
      </c>
      <c r="J102" s="3" t="str">
        <f>+EDITABLE!J110</f>
        <v>DE 8 TOMAS, 120V-60HZ Y DOS TOMAS RJ11 PARA TELÉFONO</v>
      </c>
      <c r="K102" s="2">
        <f>+EDITABLE!K110</f>
        <v>0</v>
      </c>
      <c r="L102" s="24">
        <f>+EDITABLE!L110</f>
        <v>45342</v>
      </c>
    </row>
    <row r="103" spans="1:13" x14ac:dyDescent="0.25">
      <c r="A103" s="3" t="str">
        <f>+EDITABLE!A111</f>
        <v>TECLPSICOSEN</v>
      </c>
      <c r="B103" s="6">
        <f>+EDITABLE!B111</f>
        <v>1</v>
      </c>
      <c r="C103" s="3" t="str">
        <f>+EDITABLE!C111</f>
        <v>TECLADO</v>
      </c>
      <c r="D103" s="3" t="str">
        <f>+EDITABLE!D111</f>
        <v>NEGRO</v>
      </c>
      <c r="E103" s="3" t="str">
        <f>+EDITABLE!E111</f>
        <v>QUASAD</v>
      </c>
      <c r="F103" s="3" t="str">
        <f>+EDITABLE!F111</f>
        <v>QKM-5100G</v>
      </c>
      <c r="G103" s="5" t="str">
        <f>+EDITABLE!G111</f>
        <v>GENERICO</v>
      </c>
      <c r="H103" s="3" t="str">
        <f>+EDITABLE!H111</f>
        <v>PSICOSENSOMÉTRICO 1</v>
      </c>
      <c r="I103" s="3" t="str">
        <f>+EDITABLE!I111</f>
        <v>BUENO</v>
      </c>
      <c r="J103" s="3" t="str">
        <f>+EDITABLE!J111</f>
        <v>TECLADO WIRELESS</v>
      </c>
      <c r="K103" s="2">
        <f>+EDITABLE!K111</f>
        <v>0</v>
      </c>
      <c r="L103" s="24">
        <f>+EDITABLE!L111</f>
        <v>45342</v>
      </c>
    </row>
    <row r="104" spans="1:13" x14ac:dyDescent="0.25">
      <c r="A104" s="3" t="str">
        <f>+EDITABLE!A112</f>
        <v>VISIPSICOSEN</v>
      </c>
      <c r="B104" s="6">
        <f>+EDITABLE!B112</f>
        <v>1</v>
      </c>
      <c r="C104" s="3" t="str">
        <f>+EDITABLE!C112</f>
        <v>VISIÓMETRO</v>
      </c>
      <c r="D104" s="3" t="str">
        <f>+EDITABLE!D112</f>
        <v>BLANCO-NEGRO</v>
      </c>
      <c r="E104" s="3" t="str">
        <f>+EDITABLE!E112</f>
        <v>AdMRtEST Drive</v>
      </c>
      <c r="F104" s="3" t="str">
        <f>+EDITABLE!F112</f>
        <v>1V2015mm</v>
      </c>
      <c r="G104" s="5" t="str">
        <f>+EDITABLE!G112</f>
        <v>19711983201241</v>
      </c>
      <c r="H104" s="3" t="str">
        <f>+EDITABLE!H112</f>
        <v>PSICOSENSOMÉTRICO 1</v>
      </c>
      <c r="I104" s="3" t="str">
        <f>+EDITABLE!I112</f>
        <v>BUENO</v>
      </c>
      <c r="J104" s="3" t="str">
        <f>+EDITABLE!J112</f>
        <v>PARA EXAMEN VISUAL, CON CABLE DE DATOS</v>
      </c>
      <c r="K104" s="2">
        <f>+EDITABLE!K112</f>
        <v>0</v>
      </c>
      <c r="L104" s="24">
        <f>+EDITABLE!L112</f>
        <v>45342</v>
      </c>
    </row>
    <row r="105" spans="1:13" x14ac:dyDescent="0.25">
      <c r="A105" s="3" t="str">
        <f>+EDITABLE!A113</f>
        <v>CONSPSICOSEN</v>
      </c>
      <c r="B105" s="6">
        <f>+EDITABLE!B113</f>
        <v>1</v>
      </c>
      <c r="C105" s="3" t="str">
        <f>+EDITABLE!C113</f>
        <v>CONSOLA</v>
      </c>
      <c r="D105" s="3" t="str">
        <f>+EDITABLE!D113</f>
        <v>GRIS-NEGRO</v>
      </c>
      <c r="E105" s="3" t="str">
        <f>+EDITABLE!E113</f>
        <v>AdMRtEST Drive</v>
      </c>
      <c r="F105" s="3" t="str">
        <f>+EDITABLE!F113</f>
        <v>S/M</v>
      </c>
      <c r="G105" s="5" t="str">
        <f>+EDITABLE!G113</f>
        <v>19711983201741</v>
      </c>
      <c r="H105" s="3" t="str">
        <f>+EDITABLE!H113</f>
        <v>PSICOSENSOMÉTRICO 1</v>
      </c>
      <c r="I105" s="3" t="str">
        <f>+EDITABLE!I113</f>
        <v>BUENO</v>
      </c>
      <c r="J105" s="3" t="str">
        <f>+EDITABLE!J113</f>
        <v>PARA PRUEBAS DE MOTRICIDAD Y AUDITIVAS CON 2 CABLES DE DATOS</v>
      </c>
      <c r="K105" s="2">
        <f>+EDITABLE!K113</f>
        <v>0</v>
      </c>
      <c r="L105" s="24">
        <f>+EDITABLE!L113</f>
        <v>45342</v>
      </c>
    </row>
    <row r="106" spans="1:13" x14ac:dyDescent="0.25">
      <c r="A106" s="3" t="str">
        <f>+EDITABLE!A114</f>
        <v>PEDAPSICOSEN</v>
      </c>
      <c r="B106" s="6">
        <f>+EDITABLE!B114</f>
        <v>1</v>
      </c>
      <c r="C106" s="3" t="str">
        <f>+EDITABLE!C114</f>
        <v>PEDALERA</v>
      </c>
      <c r="D106" s="3" t="str">
        <f>+EDITABLE!D114</f>
        <v>GRIS-AMARILLO</v>
      </c>
      <c r="E106" s="3" t="str">
        <f>+EDITABLE!E114</f>
        <v>AdMRtEST Drive</v>
      </c>
      <c r="F106" s="3" t="str">
        <f>+EDITABLE!F114</f>
        <v>S/M</v>
      </c>
      <c r="G106" s="5" t="str">
        <f>+EDITABLE!G114</f>
        <v>1971983201741</v>
      </c>
      <c r="H106" s="3" t="str">
        <f>+EDITABLE!H114</f>
        <v>PSICOSENSOMÉTRICO 1</v>
      </c>
      <c r="I106" s="3" t="str">
        <f>+EDITABLE!I114</f>
        <v>BUENO</v>
      </c>
      <c r="J106" s="3" t="str">
        <f>+EDITABLE!J114</f>
        <v>PARA PRUEBAS DE MOTRICIDAD, CABLE DE DATOS</v>
      </c>
      <c r="K106" s="2">
        <f>+EDITABLE!K114</f>
        <v>0</v>
      </c>
      <c r="L106" s="24">
        <f>+EDITABLE!L114</f>
        <v>45342</v>
      </c>
    </row>
    <row r="107" spans="1:13" x14ac:dyDescent="0.25">
      <c r="A107" s="3" t="str">
        <f>+EDITABLE!A115</f>
        <v>AUDIPSICOSEN</v>
      </c>
      <c r="B107" s="6">
        <f>+EDITABLE!B115</f>
        <v>1</v>
      </c>
      <c r="C107" s="3" t="str">
        <f>+EDITABLE!C115</f>
        <v>AUDIFONOS</v>
      </c>
      <c r="D107" s="3" t="str">
        <f>+EDITABLE!D115</f>
        <v>NEGRO</v>
      </c>
      <c r="E107" s="3" t="str">
        <f>+EDITABLE!E115</f>
        <v>AdMRtEST Drive</v>
      </c>
      <c r="F107" s="3" t="str">
        <f>+EDITABLE!F115</f>
        <v>HD280PRO</v>
      </c>
      <c r="G107" s="5" t="str">
        <f>+EDITABLE!G115</f>
        <v>5390</v>
      </c>
      <c r="H107" s="3" t="str">
        <f>+EDITABLE!H115</f>
        <v>PSICOSENSOMÉTRICO 1</v>
      </c>
      <c r="I107" s="3" t="str">
        <f>+EDITABLE!I115</f>
        <v>BUENO</v>
      </c>
      <c r="J107" s="3" t="str">
        <f>+EDITABLE!J115</f>
        <v>PARA PRUEBAS AUDITIVAS, CON  CABLE DE AUDIO</v>
      </c>
      <c r="K107" s="2">
        <f>+EDITABLE!K115</f>
        <v>0</v>
      </c>
      <c r="L107" s="24">
        <f>+EDITABLE!L115</f>
        <v>45342</v>
      </c>
    </row>
    <row r="108" spans="1:13" x14ac:dyDescent="0.25">
      <c r="A108" s="3" t="str">
        <f>+EDITABLE!A116</f>
        <v>IMPRPSICOSEN</v>
      </c>
      <c r="B108" s="6">
        <f>+EDITABLE!B116</f>
        <v>1</v>
      </c>
      <c r="C108" s="3" t="str">
        <f>+EDITABLE!C116</f>
        <v>IMPRESORA</v>
      </c>
      <c r="D108" s="3" t="str">
        <f>+EDITABLE!D116</f>
        <v>NEGRO</v>
      </c>
      <c r="E108" s="3" t="str">
        <f>+EDITABLE!E116</f>
        <v>EPSON</v>
      </c>
      <c r="F108" s="3" t="str">
        <f>+EDITABLE!F116</f>
        <v>L3110</v>
      </c>
      <c r="G108" s="5" t="str">
        <f>+EDITABLE!G116</f>
        <v>X644665316</v>
      </c>
      <c r="H108" s="3" t="str">
        <f>+EDITABLE!H116</f>
        <v>PSICOSENSOMÉTRICO 1</v>
      </c>
      <c r="I108" s="3" t="str">
        <f>+EDITABLE!I116</f>
        <v>BUENO</v>
      </c>
      <c r="J108" s="3" t="str">
        <f>+EDITABLE!J116</f>
        <v>DE TINTA CONTINUA A COLORES</v>
      </c>
      <c r="K108" s="2">
        <f>+EDITABLE!K116</f>
        <v>0</v>
      </c>
      <c r="L108" s="24">
        <f>+EDITABLE!L116</f>
        <v>45342</v>
      </c>
    </row>
    <row r="109" spans="1:13" x14ac:dyDescent="0.25">
      <c r="A109" s="3" t="str">
        <f>+EDITABLE!A117</f>
        <v>CAMAPSICOSEN</v>
      </c>
      <c r="B109" s="6">
        <f>+EDITABLE!B117</f>
        <v>1</v>
      </c>
      <c r="C109" s="3" t="str">
        <f>+EDITABLE!C117</f>
        <v>CAMARA WEB</v>
      </c>
      <c r="D109" s="3" t="str">
        <f>+EDITABLE!D117</f>
        <v>ROJA</v>
      </c>
      <c r="E109" s="3" t="str">
        <f>+EDITABLE!E117</f>
        <v>SPEDMEND</v>
      </c>
      <c r="F109" s="3" t="str">
        <f>+EDITABLE!F117</f>
        <v>SM07W159</v>
      </c>
      <c r="G109" s="5" t="str">
        <f>+EDITABLE!G117</f>
        <v>S/S</v>
      </c>
      <c r="H109" s="3" t="str">
        <f>+EDITABLE!H117</f>
        <v>PSICOSENSOMÉTRICO 1</v>
      </c>
      <c r="I109" s="3" t="str">
        <f>+EDITABLE!I117</f>
        <v>BUENO</v>
      </c>
      <c r="J109" s="3" t="str">
        <f>+EDITABLE!J117</f>
        <v>PARA TOMAR LAS FOTOGRAFIAS A LOS EXAMINADOS</v>
      </c>
      <c r="K109" s="2">
        <f>+EDITABLE!K117</f>
        <v>0</v>
      </c>
      <c r="L109" s="24">
        <f>+EDITABLE!L117</f>
        <v>45342</v>
      </c>
    </row>
    <row r="110" spans="1:13" x14ac:dyDescent="0.25">
      <c r="A110" s="3" t="str">
        <f>+EDITABLE!A118</f>
        <v>PARLPSICOSEN</v>
      </c>
      <c r="B110" s="6">
        <f>+EDITABLE!B118</f>
        <v>1</v>
      </c>
      <c r="C110" s="3" t="str">
        <f>+EDITABLE!C118</f>
        <v>PARLANTES</v>
      </c>
      <c r="D110" s="3" t="str">
        <f>+EDITABLE!D118</f>
        <v>NEGRO</v>
      </c>
      <c r="E110" s="3" t="str">
        <f>+EDITABLE!E118</f>
        <v>KLIP EXTREME</v>
      </c>
      <c r="F110" s="3" t="str">
        <f>+EDITABLE!F118</f>
        <v>KSS-710</v>
      </c>
      <c r="G110" s="5" t="str">
        <f>+EDITABLE!G118</f>
        <v>13-11580</v>
      </c>
      <c r="H110" s="3" t="str">
        <f>+EDITABLE!H118</f>
        <v>PSICOSENSOMÉTRICO 1</v>
      </c>
      <c r="I110" s="3" t="str">
        <f>+EDITABLE!I118</f>
        <v>BUENO</v>
      </c>
      <c r="J110" s="3" t="str">
        <f>+EDITABLE!J118</f>
        <v>CON SOPORTE AEREO, CABLE DE SONIO DE 20 m.</v>
      </c>
      <c r="K110" s="2">
        <f>+EDITABLE!K118</f>
        <v>0</v>
      </c>
      <c r="L110" s="24">
        <f>+EDITABLE!L118</f>
        <v>45342</v>
      </c>
    </row>
    <row r="111" spans="1:13" x14ac:dyDescent="0.25">
      <c r="A111" s="3" t="str">
        <f>+EDITABLE!A119</f>
        <v>MODEPSICOSEN</v>
      </c>
      <c r="B111" s="6">
        <f>+EDITABLE!B119</f>
        <v>1</v>
      </c>
      <c r="C111" s="3" t="str">
        <f>+EDITABLE!C119</f>
        <v>MODEM WIFI</v>
      </c>
      <c r="D111" s="3" t="str">
        <f>+EDITABLE!D119</f>
        <v>NEGRO</v>
      </c>
      <c r="E111" s="3" t="str">
        <f>+EDITABLE!E119</f>
        <v>MERCUSYS</v>
      </c>
      <c r="F111" s="3" t="str">
        <f>+EDITABLE!F119</f>
        <v>AC12G</v>
      </c>
      <c r="G111" s="5" t="str">
        <f>+EDITABLE!G119</f>
        <v>22132A8003933</v>
      </c>
      <c r="H111" s="3" t="str">
        <f>+EDITABLE!H119</f>
        <v>PSICOSENSOMÉTRICO 1</v>
      </c>
      <c r="I111" s="3" t="str">
        <f>+EDITABLE!I119</f>
        <v>BUENO</v>
      </c>
      <c r="J111" s="3" t="str">
        <f>+EDITABLE!J119</f>
        <v>4 PUERTOS RJ45 Y CABLE DE ENERGIA</v>
      </c>
      <c r="K111" s="2">
        <f>+EDITABLE!K119</f>
        <v>0</v>
      </c>
      <c r="L111" s="24">
        <f>+EDITABLE!L119</f>
        <v>45342</v>
      </c>
    </row>
    <row r="112" spans="1:13" x14ac:dyDescent="0.25">
      <c r="A112" s="3" t="str">
        <f>+EDITABLE!A120</f>
        <v/>
      </c>
      <c r="B112" s="6">
        <f>+EDITABLE!B120</f>
        <v>0</v>
      </c>
      <c r="C112" s="3">
        <f>+EDITABLE!C120</f>
        <v>0</v>
      </c>
      <c r="D112" s="3">
        <f>+EDITABLE!D120</f>
        <v>0</v>
      </c>
      <c r="E112" s="3">
        <f>+EDITABLE!E120</f>
        <v>0</v>
      </c>
      <c r="F112" s="3">
        <f>+EDITABLE!F120</f>
        <v>0</v>
      </c>
      <c r="G112" s="5">
        <f>+EDITABLE!G120</f>
        <v>0</v>
      </c>
      <c r="H112" s="3">
        <f>+EDITABLE!H120</f>
        <v>0</v>
      </c>
      <c r="I112" s="3">
        <f>+EDITABLE!I120</f>
        <v>0</v>
      </c>
      <c r="J112" s="3">
        <f>+EDITABLE!J120</f>
        <v>0</v>
      </c>
      <c r="K112" s="2">
        <f>+EDITABLE!K120</f>
        <v>0</v>
      </c>
      <c r="L112" s="24">
        <f>+EDITABLE!L120</f>
        <v>0</v>
      </c>
    </row>
    <row r="113" spans="1:13" x14ac:dyDescent="0.25">
      <c r="A113" s="3"/>
      <c r="B113" s="6">
        <f>+EDITABLE!B121</f>
        <v>0</v>
      </c>
      <c r="C113" s="3">
        <f>+EDITABLE!C121</f>
        <v>0</v>
      </c>
      <c r="D113" s="3">
        <f>+EDITABLE!D121</f>
        <v>0</v>
      </c>
      <c r="E113" s="3">
        <f>+EDITABLE!E121</f>
        <v>0</v>
      </c>
      <c r="F113" s="3">
        <f>+EDITABLE!F121</f>
        <v>0</v>
      </c>
      <c r="G113" s="5">
        <f>+EDITABLE!G121</f>
        <v>0</v>
      </c>
      <c r="H113" s="3">
        <f>+EDITABLE!H121</f>
        <v>0</v>
      </c>
      <c r="I113" s="3">
        <f>+EDITABLE!I121</f>
        <v>0</v>
      </c>
      <c r="J113" s="3">
        <f>+EDITABLE!J121</f>
        <v>0</v>
      </c>
      <c r="K113" s="2">
        <f>+EDITABLE!K121</f>
        <v>0</v>
      </c>
      <c r="L113" s="24">
        <f>+EDITABLE!L121</f>
        <v>0</v>
      </c>
    </row>
    <row r="114" spans="1:13" x14ac:dyDescent="0.25">
      <c r="A114" s="3" t="str">
        <f>+EDITABLE!A121</f>
        <v/>
      </c>
      <c r="B114" s="6">
        <f>+EDITABLE!B122</f>
        <v>0</v>
      </c>
      <c r="C114" s="3">
        <f>+EDITABLE!C122</f>
        <v>0</v>
      </c>
      <c r="D114" s="3">
        <f>+EDITABLE!D122</f>
        <v>0</v>
      </c>
      <c r="E114" s="3">
        <f>+EDITABLE!E122</f>
        <v>0</v>
      </c>
      <c r="F114" s="3">
        <f>+EDITABLE!F122</f>
        <v>0</v>
      </c>
      <c r="G114" s="5">
        <f>+EDITABLE!G122</f>
        <v>0</v>
      </c>
      <c r="H114" s="3">
        <f>+EDITABLE!H122</f>
        <v>0</v>
      </c>
      <c r="I114" s="3">
        <f>+EDITABLE!I122</f>
        <v>0</v>
      </c>
      <c r="J114" s="3">
        <f>+EDITABLE!J122</f>
        <v>0</v>
      </c>
      <c r="K114" s="2">
        <f>+EDITABLE!K122</f>
        <v>0</v>
      </c>
      <c r="L114" s="24">
        <f>+EDITABLE!L122</f>
        <v>0</v>
      </c>
    </row>
    <row r="115" spans="1:13" x14ac:dyDescent="0.25">
      <c r="A115" s="3" t="str">
        <f>+EDITABLE!A124</f>
        <v>MINIPSICOSEN</v>
      </c>
      <c r="B115" s="6">
        <f>+EDITABLE!B124</f>
        <v>1</v>
      </c>
      <c r="C115" s="3" t="str">
        <f>+EDITABLE!C124</f>
        <v>MINI CPU NUC</v>
      </c>
      <c r="D115" s="3" t="str">
        <f>+EDITABLE!D124</f>
        <v>NEGRO</v>
      </c>
      <c r="E115" s="3" t="str">
        <f>+EDITABLE!E124</f>
        <v>INTEL</v>
      </c>
      <c r="F115" s="3" t="str">
        <f>+EDITABLE!F124</f>
        <v>G6AY747007NN</v>
      </c>
      <c r="G115" s="5" t="str">
        <f>+EDITABLE!G124</f>
        <v>PROYECT CODE NUC6CAYH</v>
      </c>
      <c r="H115" s="3" t="str">
        <f>+EDITABLE!H124</f>
        <v>PSICOSENSOMÉTRICO 2</v>
      </c>
      <c r="I115" s="3" t="str">
        <f>+EDITABLE!I124</f>
        <v>BUENO</v>
      </c>
      <c r="J115" s="3" t="str">
        <f>+EDITABLE!J124</f>
        <v>CONECTADO TODOS LOS DISPOSITIVOS DEL EQUIPO E INSTALADO EL SOFTWARE PARA PRUEBAS DEL BIOMÉTRICO</v>
      </c>
      <c r="K115" s="2">
        <f>+EDITABLE!K124</f>
        <v>15680</v>
      </c>
      <c r="L115" s="24">
        <f>+EDITABLE!L124</f>
        <v>45338</v>
      </c>
      <c r="M115">
        <v>10</v>
      </c>
    </row>
    <row r="116" spans="1:13" x14ac:dyDescent="0.25">
      <c r="A116" s="3" t="str">
        <f>+EDITABLE!A125</f>
        <v>MONIPSICOSEN</v>
      </c>
      <c r="B116" s="6">
        <f>+EDITABLE!B125</f>
        <v>1</v>
      </c>
      <c r="C116" s="3" t="str">
        <f>+EDITABLE!C125</f>
        <v>MONITOR</v>
      </c>
      <c r="D116" s="3" t="str">
        <f>+EDITABLE!D125</f>
        <v>NEGRO</v>
      </c>
      <c r="E116" s="3" t="str">
        <f>+EDITABLE!E125</f>
        <v>SAMSUNG</v>
      </c>
      <c r="F116" s="3" t="str">
        <f>+EDITABLE!F125</f>
        <v>S19A10N</v>
      </c>
      <c r="G116" s="5" t="str">
        <f>+EDITABLE!G125</f>
        <v>ZT14H4LC401997A</v>
      </c>
      <c r="H116" s="3" t="str">
        <f>+EDITABLE!H125</f>
        <v>PSICOSENSOMÉTRICO 2</v>
      </c>
      <c r="I116" s="3" t="str">
        <f>+EDITABLE!I125</f>
        <v>BUENO</v>
      </c>
      <c r="J116" s="3" t="str">
        <f>+EDITABLE!J125</f>
        <v>19" PARA VISUALIZACIÓN DE DATOS DEL USUARIO</v>
      </c>
      <c r="K116" s="2">
        <f>+EDITABLE!K125</f>
        <v>0</v>
      </c>
      <c r="L116" s="24">
        <f>+EDITABLE!L125</f>
        <v>45338</v>
      </c>
    </row>
    <row r="117" spans="1:13" x14ac:dyDescent="0.25">
      <c r="A117" s="3" t="str">
        <f>+EDITABLE!A126</f>
        <v>MONIPSICOSEN</v>
      </c>
      <c r="B117" s="6">
        <f>+EDITABLE!B126</f>
        <v>1</v>
      </c>
      <c r="C117" s="3" t="str">
        <f>+EDITABLE!C126</f>
        <v>MONITOR</v>
      </c>
      <c r="D117" s="3" t="str">
        <f>+EDITABLE!D126</f>
        <v>NEGRO</v>
      </c>
      <c r="E117" s="3" t="str">
        <f>+EDITABLE!E126</f>
        <v>SAMSUNG</v>
      </c>
      <c r="F117" s="3" t="str">
        <f>+EDITABLE!F126</f>
        <v>S19C150F</v>
      </c>
      <c r="G117" s="5" t="str">
        <f>+EDITABLE!G126</f>
        <v>ZYJ2H4LD712664R</v>
      </c>
      <c r="H117" s="3" t="str">
        <f>+EDITABLE!H126</f>
        <v>PSICOSENSOMÉTRICO 2</v>
      </c>
      <c r="I117" s="3" t="str">
        <f>+EDITABLE!I126</f>
        <v>BUENO</v>
      </c>
      <c r="J117" s="3" t="str">
        <f>+EDITABLE!J126</f>
        <v>19" PARA VISUALIZACIÓN DE DATOS DEL EXAMINADOR</v>
      </c>
      <c r="K117" s="2">
        <f>+EDITABLE!K126</f>
        <v>0</v>
      </c>
      <c r="L117" s="24">
        <f>+EDITABLE!L126</f>
        <v>45338</v>
      </c>
    </row>
    <row r="118" spans="1:13" x14ac:dyDescent="0.25">
      <c r="A118" s="3" t="str">
        <f>+EDITABLE!A127</f>
        <v>MOUSPSICOSEN</v>
      </c>
      <c r="B118" s="6">
        <f>+EDITABLE!B127</f>
        <v>1</v>
      </c>
      <c r="C118" s="3" t="str">
        <f>+EDITABLE!C127</f>
        <v>MOUSE</v>
      </c>
      <c r="D118" s="3" t="str">
        <f>+EDITABLE!D127</f>
        <v>NEGRO</v>
      </c>
      <c r="E118" s="3" t="str">
        <f>+EDITABLE!E127</f>
        <v>QUASAD</v>
      </c>
      <c r="F118" s="3" t="str">
        <f>+EDITABLE!F127</f>
        <v>QC-4583</v>
      </c>
      <c r="G118" s="5" t="str">
        <f>+EDITABLE!G127</f>
        <v>GENÉRICO</v>
      </c>
      <c r="H118" s="3" t="str">
        <f>+EDITABLE!H127</f>
        <v>PSICOSENSOMÉTRICO 2</v>
      </c>
      <c r="I118" s="3" t="str">
        <f>+EDITABLE!I127</f>
        <v>BUENO</v>
      </c>
      <c r="J118" s="3" t="str">
        <f>+EDITABLE!J127</f>
        <v>MOUSE WIRELESS 1.5V, INALAMBRICO</v>
      </c>
      <c r="K118" s="2">
        <f>+EDITABLE!K127</f>
        <v>0</v>
      </c>
      <c r="L118" s="24">
        <f>+EDITABLE!L127</f>
        <v>45338</v>
      </c>
    </row>
    <row r="119" spans="1:13" x14ac:dyDescent="0.25">
      <c r="A119" s="3" t="str">
        <f>+EDITABLE!A128</f>
        <v>HUB PSICOSEN</v>
      </c>
      <c r="B119" s="6">
        <f>+EDITABLE!B128</f>
        <v>1</v>
      </c>
      <c r="C119" s="3" t="str">
        <f>+EDITABLE!C128</f>
        <v>HUB USB</v>
      </c>
      <c r="D119" s="3" t="str">
        <f>+EDITABLE!D128</f>
        <v>NEGRO</v>
      </c>
      <c r="E119" s="3" t="str">
        <f>+EDITABLE!E128</f>
        <v>ADWEIXUN</v>
      </c>
      <c r="F119" s="3" t="str">
        <f>+EDITABLE!F128</f>
        <v>GENÉRICO</v>
      </c>
      <c r="G119" s="5" t="str">
        <f>+EDITABLE!G128</f>
        <v>GENÉRICO</v>
      </c>
      <c r="H119" s="3" t="str">
        <f>+EDITABLE!H128</f>
        <v>PSICOSENSOMÉTRICO 2</v>
      </c>
      <c r="I119" s="3" t="str">
        <f>+EDITABLE!I128</f>
        <v>BUENO</v>
      </c>
      <c r="J119" s="3" t="str">
        <f>+EDITABLE!J128</f>
        <v>DOS PUERTOS HABILITADOS</v>
      </c>
      <c r="K119" s="2">
        <f>+EDITABLE!K128</f>
        <v>0</v>
      </c>
      <c r="L119" s="24">
        <f>+EDITABLE!L128</f>
        <v>45338</v>
      </c>
    </row>
    <row r="120" spans="1:13" x14ac:dyDescent="0.25">
      <c r="A120" s="3" t="str">
        <f>+EDITABLE!A129</f>
        <v>UPS PSICOSEN</v>
      </c>
      <c r="B120" s="6">
        <f>+EDITABLE!B129</f>
        <v>1</v>
      </c>
      <c r="C120" s="3" t="str">
        <f>+EDITABLE!C129</f>
        <v>UPS DE ENERGIA</v>
      </c>
      <c r="D120" s="3" t="str">
        <f>+EDITABLE!D129</f>
        <v>NEGRO</v>
      </c>
      <c r="E120" s="3" t="str">
        <f>+EDITABLE!E129</f>
        <v>APC</v>
      </c>
      <c r="F120" s="3" t="str">
        <f>+EDITABLE!F129</f>
        <v>BV800</v>
      </c>
      <c r="G120" s="5" t="str">
        <f>+EDITABLE!G129</f>
        <v>9B1939A07079</v>
      </c>
      <c r="H120" s="3" t="str">
        <f>+EDITABLE!H129</f>
        <v>PSICOSENSOMÉTRICO 2</v>
      </c>
      <c r="I120" s="3" t="str">
        <f>+EDITABLE!I129</f>
        <v>BUENO</v>
      </c>
      <c r="J120" s="3" t="str">
        <f>+EDITABLE!J129</f>
        <v>DE 6 TOMAS, 120V-60HZ. ACUMULADOR DE ENERGIA X 15min</v>
      </c>
      <c r="K120" s="2">
        <f>+EDITABLE!K129</f>
        <v>0</v>
      </c>
      <c r="L120" s="24">
        <f>+EDITABLE!L129</f>
        <v>45338</v>
      </c>
    </row>
    <row r="121" spans="1:13" x14ac:dyDescent="0.25">
      <c r="A121" s="3" t="str">
        <f>+EDITABLE!A130</f>
        <v>TECLPSICOSEN</v>
      </c>
      <c r="B121" s="6">
        <f>+EDITABLE!B130</f>
        <v>1</v>
      </c>
      <c r="C121" s="3" t="str">
        <f>+EDITABLE!C130</f>
        <v>TECLADO</v>
      </c>
      <c r="D121" s="3" t="str">
        <f>+EDITABLE!D130</f>
        <v>NEGRO</v>
      </c>
      <c r="E121" s="3" t="str">
        <f>+EDITABLE!E130</f>
        <v>QUASAD</v>
      </c>
      <c r="F121" s="3" t="str">
        <f>+EDITABLE!F130</f>
        <v>QC4583</v>
      </c>
      <c r="G121" s="5" t="str">
        <f>+EDITABLE!G130</f>
        <v>GENERICO</v>
      </c>
      <c r="H121" s="3" t="str">
        <f>+EDITABLE!H130</f>
        <v>PSICOSENSOMÉTRICO 2</v>
      </c>
      <c r="I121" s="3" t="str">
        <f>+EDITABLE!I130</f>
        <v>BUENO</v>
      </c>
      <c r="J121" s="3" t="str">
        <f>+EDITABLE!J130</f>
        <v>TECLADO WIRELESS</v>
      </c>
      <c r="K121" s="2">
        <f>+EDITABLE!K130</f>
        <v>0</v>
      </c>
      <c r="L121" s="24">
        <f>+EDITABLE!L130</f>
        <v>45338</v>
      </c>
    </row>
    <row r="122" spans="1:13" x14ac:dyDescent="0.25">
      <c r="A122" s="3" t="str">
        <f>+EDITABLE!A131</f>
        <v>VISIPSICOSEN</v>
      </c>
      <c r="B122" s="6">
        <f>+EDITABLE!B131</f>
        <v>1</v>
      </c>
      <c r="C122" s="3" t="str">
        <f>+EDITABLE!C131</f>
        <v>VISIÓMETRO</v>
      </c>
      <c r="D122" s="3" t="str">
        <f>+EDITABLE!D131</f>
        <v>NEGRO</v>
      </c>
      <c r="E122" s="3" t="str">
        <f>+EDITABLE!E131</f>
        <v>AdMRtEST Drive</v>
      </c>
      <c r="F122" s="3" t="str">
        <f>+EDITABLE!F131</f>
        <v>1V2015mm</v>
      </c>
      <c r="G122" s="5" t="str">
        <f>+EDITABLE!G131</f>
        <v>1971198320121</v>
      </c>
      <c r="H122" s="3" t="str">
        <f>+EDITABLE!H131</f>
        <v>PSICOSENSOMÉTRICO 2</v>
      </c>
      <c r="I122" s="3" t="str">
        <f>+EDITABLE!I131</f>
        <v>BUENO</v>
      </c>
      <c r="J122" s="3" t="str">
        <f>+EDITABLE!J131</f>
        <v>PARA EXAMEN VISUAL, CON CABLE DE DATOS</v>
      </c>
      <c r="K122" s="2">
        <f>+EDITABLE!K131</f>
        <v>0</v>
      </c>
      <c r="L122" s="24">
        <f>+EDITABLE!L131</f>
        <v>45338</v>
      </c>
    </row>
    <row r="123" spans="1:13" x14ac:dyDescent="0.25">
      <c r="A123" s="3" t="str">
        <f>+EDITABLE!A132</f>
        <v>CONSPSICOSEN</v>
      </c>
      <c r="B123" s="6">
        <f>+EDITABLE!B132</f>
        <v>1</v>
      </c>
      <c r="C123" s="3" t="str">
        <f>+EDITABLE!C132</f>
        <v>CONSOLA</v>
      </c>
      <c r="D123" s="3" t="str">
        <f>+EDITABLE!D132</f>
        <v>GRIS-NEGRO</v>
      </c>
      <c r="E123" s="3" t="str">
        <f>+EDITABLE!E132</f>
        <v>AdMRtEST Drive</v>
      </c>
      <c r="F123" s="3" t="str">
        <f>+EDITABLE!F132</f>
        <v>S/M</v>
      </c>
      <c r="G123" s="5" t="str">
        <f>+EDITABLE!G132</f>
        <v>1971198320121</v>
      </c>
      <c r="H123" s="3" t="str">
        <f>+EDITABLE!H132</f>
        <v>PSICOSENSOMÉTRICO 2</v>
      </c>
      <c r="I123" s="3" t="str">
        <f>+EDITABLE!I132</f>
        <v>BUENO</v>
      </c>
      <c r="J123" s="3" t="str">
        <f>+EDITABLE!J132</f>
        <v>PARA PRUEBAS DE MOTRICIDAD Y AUDITIVAS CON 2 CABLES DE DATOS</v>
      </c>
      <c r="K123" s="2">
        <f>+EDITABLE!K132</f>
        <v>0</v>
      </c>
      <c r="L123" s="24">
        <f>+EDITABLE!L132</f>
        <v>45338</v>
      </c>
    </row>
    <row r="124" spans="1:13" x14ac:dyDescent="0.25">
      <c r="A124" s="3" t="str">
        <f>+EDITABLE!A133</f>
        <v>PEDAPSICOSEN</v>
      </c>
      <c r="B124" s="6">
        <f>+EDITABLE!B133</f>
        <v>1</v>
      </c>
      <c r="C124" s="3" t="str">
        <f>+EDITABLE!C133</f>
        <v>PEDALERA</v>
      </c>
      <c r="D124" s="3" t="str">
        <f>+EDITABLE!D133</f>
        <v>GRIS</v>
      </c>
      <c r="E124" s="3" t="str">
        <f>+EDITABLE!E133</f>
        <v>AdMRtEST Drive</v>
      </c>
      <c r="F124" s="3" t="str">
        <f>+EDITABLE!F133</f>
        <v>S/M</v>
      </c>
      <c r="G124" s="5" t="str">
        <f>+EDITABLE!G133</f>
        <v>1971198320121</v>
      </c>
      <c r="H124" s="3" t="str">
        <f>+EDITABLE!H133</f>
        <v>PSICOSENSOMÉTRICO 2</v>
      </c>
      <c r="I124" s="3" t="str">
        <f>+EDITABLE!I133</f>
        <v>BUENO</v>
      </c>
      <c r="J124" s="3" t="str">
        <f>+EDITABLE!J133</f>
        <v>PARA PRUEBAS DE MOTRICIDAD, CABLE DE DATOS</v>
      </c>
      <c r="K124" s="2">
        <f>+EDITABLE!K133</f>
        <v>0</v>
      </c>
      <c r="L124" s="24">
        <f>+EDITABLE!L133</f>
        <v>45338</v>
      </c>
    </row>
    <row r="125" spans="1:13" x14ac:dyDescent="0.25">
      <c r="A125" s="3" t="str">
        <f>+EDITABLE!A134</f>
        <v>AUDIPSICOSEN</v>
      </c>
      <c r="B125" s="6">
        <f>+EDITABLE!B134</f>
        <v>1</v>
      </c>
      <c r="C125" s="3" t="str">
        <f>+EDITABLE!C134</f>
        <v>AUDIFONOS</v>
      </c>
      <c r="D125" s="3" t="str">
        <f>+EDITABLE!D134</f>
        <v>NEGRO</v>
      </c>
      <c r="E125" s="3" t="str">
        <f>+EDITABLE!E134</f>
        <v>AdMRtEST Drive</v>
      </c>
      <c r="F125" s="3" t="str">
        <f>+EDITABLE!F134</f>
        <v>HD280PRO</v>
      </c>
      <c r="G125" s="5" t="str">
        <f>+EDITABLE!G134</f>
        <v>4517</v>
      </c>
      <c r="H125" s="3" t="str">
        <f>+EDITABLE!H134</f>
        <v>PSICOSENSOMÉTRICO 2</v>
      </c>
      <c r="I125" s="3" t="str">
        <f>+EDITABLE!I134</f>
        <v>BUENO</v>
      </c>
      <c r="J125" s="3" t="str">
        <f>+EDITABLE!J134</f>
        <v>PARA PRUEBAS AUDITIVAS, CON  CABLE DE AUDIO</v>
      </c>
      <c r="K125" s="2">
        <f>+EDITABLE!K134</f>
        <v>0</v>
      </c>
      <c r="L125" s="24">
        <f>+EDITABLE!L134</f>
        <v>45338</v>
      </c>
    </row>
    <row r="126" spans="1:13" x14ac:dyDescent="0.25">
      <c r="A126" s="3" t="str">
        <f>+EDITABLE!A135</f>
        <v>IMPRPSICOSEN</v>
      </c>
      <c r="B126" s="6">
        <f>+EDITABLE!B135</f>
        <v>1</v>
      </c>
      <c r="C126" s="3" t="str">
        <f>+EDITABLE!C135</f>
        <v>IMPRESORA</v>
      </c>
      <c r="D126" s="3" t="str">
        <f>+EDITABLE!D135</f>
        <v>NEGRO</v>
      </c>
      <c r="E126" s="3" t="str">
        <f>+EDITABLE!E135</f>
        <v>EPSON</v>
      </c>
      <c r="F126" s="3" t="str">
        <f>+EDITABLE!F135</f>
        <v>L300</v>
      </c>
      <c r="G126" s="5" t="str">
        <f>+EDITABLE!G135</f>
        <v>UNEK001642</v>
      </c>
      <c r="H126" s="3" t="str">
        <f>+EDITABLE!H135</f>
        <v>PSICOSENSOMÉTRICO 2</v>
      </c>
      <c r="I126" s="3" t="str">
        <f>+EDITABLE!I135</f>
        <v>BUENO</v>
      </c>
      <c r="J126" s="3" t="str">
        <f>+EDITABLE!J135</f>
        <v>DE TINTA CONTINUA A COLORES</v>
      </c>
      <c r="K126" s="2">
        <f>+EDITABLE!K135</f>
        <v>0</v>
      </c>
      <c r="L126" s="24">
        <f>+EDITABLE!L135</f>
        <v>45338</v>
      </c>
    </row>
    <row r="127" spans="1:13" x14ac:dyDescent="0.25">
      <c r="A127" s="3" t="str">
        <f>+EDITABLE!A136</f>
        <v>CAMAPSICOSEN</v>
      </c>
      <c r="B127" s="6">
        <f>+EDITABLE!B136</f>
        <v>1</v>
      </c>
      <c r="C127" s="3" t="str">
        <f>+EDITABLE!C136</f>
        <v>CAMARA WEB</v>
      </c>
      <c r="D127" s="3" t="str">
        <f>+EDITABLE!D136</f>
        <v>GRIS-NEGRA</v>
      </c>
      <c r="E127" s="3" t="str">
        <f>+EDITABLE!E136</f>
        <v>GENIUS</v>
      </c>
      <c r="F127" s="3" t="str">
        <f>+EDITABLE!F136</f>
        <v>S/M</v>
      </c>
      <c r="G127" s="5" t="str">
        <f>+EDITABLE!G136</f>
        <v>S/S</v>
      </c>
      <c r="H127" s="3" t="str">
        <f>+EDITABLE!H136</f>
        <v>PSICOSENSOMÉTRICO 2</v>
      </c>
      <c r="I127" s="3" t="str">
        <f>+EDITABLE!I136</f>
        <v>BUENO</v>
      </c>
      <c r="J127" s="3" t="str">
        <f>+EDITABLE!J136</f>
        <v>PARA TOMAR LAS FOTOGRAFIAS A LOS EXAMINADOS</v>
      </c>
      <c r="K127" s="2">
        <f>+EDITABLE!K136</f>
        <v>0</v>
      </c>
      <c r="L127" s="24">
        <f>+EDITABLE!L136</f>
        <v>45338</v>
      </c>
    </row>
    <row r="128" spans="1:13" x14ac:dyDescent="0.25">
      <c r="A128" s="3" t="str">
        <f>+EDITABLE!A137</f>
        <v/>
      </c>
      <c r="B128" s="6">
        <f>+EDITABLE!B137</f>
        <v>0</v>
      </c>
      <c r="C128" s="3">
        <f>+EDITABLE!C137</f>
        <v>0</v>
      </c>
      <c r="D128" s="3">
        <f>+EDITABLE!D137</f>
        <v>0</v>
      </c>
      <c r="E128" s="3">
        <f>+EDITABLE!E137</f>
        <v>0</v>
      </c>
      <c r="F128" s="3">
        <f>+EDITABLE!F137</f>
        <v>0</v>
      </c>
      <c r="G128" s="5">
        <f>+EDITABLE!G137</f>
        <v>0</v>
      </c>
      <c r="H128" s="3">
        <f>+EDITABLE!H137</f>
        <v>0</v>
      </c>
      <c r="I128" s="3">
        <f>+EDITABLE!I137</f>
        <v>0</v>
      </c>
      <c r="J128" s="3">
        <f>+EDITABLE!J137</f>
        <v>0</v>
      </c>
      <c r="K128" s="2">
        <f>+EDITABLE!K137</f>
        <v>0</v>
      </c>
      <c r="L128" s="24">
        <f>+EDITABLE!L137</f>
        <v>0</v>
      </c>
    </row>
    <row r="129" spans="1:13" x14ac:dyDescent="0.25">
      <c r="A129" s="3"/>
      <c r="B129" s="6">
        <f>+EDITABLE!B138</f>
        <v>0</v>
      </c>
      <c r="C129" s="3">
        <f>+EDITABLE!C138</f>
        <v>0</v>
      </c>
      <c r="D129" s="3">
        <f>+EDITABLE!D138</f>
        <v>0</v>
      </c>
      <c r="E129" s="3">
        <f>+EDITABLE!E138</f>
        <v>0</v>
      </c>
      <c r="F129" s="3">
        <f>+EDITABLE!F138</f>
        <v>0</v>
      </c>
      <c r="G129" s="5">
        <f>+EDITABLE!G138</f>
        <v>0</v>
      </c>
      <c r="H129" s="3">
        <f>+EDITABLE!H138</f>
        <v>0</v>
      </c>
      <c r="I129" s="3">
        <f>+EDITABLE!I138</f>
        <v>0</v>
      </c>
      <c r="J129" s="3">
        <f>+EDITABLE!J138</f>
        <v>0</v>
      </c>
      <c r="K129" s="2">
        <f>+EDITABLE!K138</f>
        <v>0</v>
      </c>
      <c r="L129" s="24">
        <f>+EDITABLE!L138</f>
        <v>0</v>
      </c>
    </row>
    <row r="130" spans="1:13" x14ac:dyDescent="0.25">
      <c r="A130" s="3" t="str">
        <f>+EDITABLE!A138</f>
        <v/>
      </c>
      <c r="B130" s="6">
        <f>+EDITABLE!B139</f>
        <v>0</v>
      </c>
      <c r="C130" s="3">
        <f>+EDITABLE!C139</f>
        <v>0</v>
      </c>
      <c r="D130" s="3">
        <f>+EDITABLE!D139</f>
        <v>0</v>
      </c>
      <c r="E130" s="3">
        <f>+EDITABLE!E139</f>
        <v>0</v>
      </c>
      <c r="F130" s="3">
        <f>+EDITABLE!F139</f>
        <v>0</v>
      </c>
      <c r="G130" s="5">
        <f>+EDITABLE!G139</f>
        <v>0</v>
      </c>
      <c r="H130" s="3">
        <f>+EDITABLE!H139</f>
        <v>0</v>
      </c>
      <c r="I130" s="3">
        <f>+EDITABLE!I139</f>
        <v>0</v>
      </c>
      <c r="J130" s="3">
        <f>+EDITABLE!J139</f>
        <v>0</v>
      </c>
      <c r="K130" s="2">
        <f>+EDITABLE!K139</f>
        <v>0</v>
      </c>
      <c r="L130" s="24">
        <f>+EDITABLE!L139</f>
        <v>0</v>
      </c>
    </row>
    <row r="131" spans="1:13" x14ac:dyDescent="0.25">
      <c r="A131" s="3" t="str">
        <f>+EDITABLE!A141</f>
        <v>COMPTESORERÍ</v>
      </c>
      <c r="B131" s="6">
        <f>+EDITABLE!B141</f>
        <v>1</v>
      </c>
      <c r="C131" s="3" t="str">
        <f>+EDITABLE!C141</f>
        <v>COMPUTADOR PORTATIL</v>
      </c>
      <c r="D131" s="3" t="str">
        <f>+EDITABLE!D141</f>
        <v>NEGRO</v>
      </c>
      <c r="E131" s="3" t="str">
        <f>+EDITABLE!E141</f>
        <v>DELL</v>
      </c>
      <c r="F131" s="3" t="str">
        <f>+EDITABLE!F141</f>
        <v>INSPIRON 153520</v>
      </c>
      <c r="G131" s="5" t="str">
        <f>+EDITABLE!G141</f>
        <v>S/S</v>
      </c>
      <c r="H131" s="3" t="str">
        <f>+EDITABLE!H141</f>
        <v>TESORERÍA</v>
      </c>
      <c r="I131" s="3" t="str">
        <f>+EDITABLE!I141</f>
        <v>BUENO</v>
      </c>
      <c r="J131" s="3" t="str">
        <f>+EDITABLE!J141</f>
        <v>WINDOWS 11 PRO, PROCESADOR: 11TH GEN INTEL ® CORE TM i5-1135G7, 2.40 GHZ, RAM 8 GB, 64 BITS, INTERNET WIFI Y CABLE, CABLE DE ENERGIA</v>
      </c>
      <c r="K131" s="2">
        <f>+EDITABLE!K141</f>
        <v>565.6</v>
      </c>
      <c r="L131" s="24">
        <f>+EDITABLE!L141</f>
        <v>45288</v>
      </c>
      <c r="M131">
        <v>11</v>
      </c>
    </row>
    <row r="132" spans="1:13" x14ac:dyDescent="0.25">
      <c r="A132" s="3" t="str">
        <f>+EDITABLE!A142</f>
        <v>PARLTESORERÍ</v>
      </c>
      <c r="B132" s="6">
        <f>+EDITABLE!B142</f>
        <v>1</v>
      </c>
      <c r="C132" s="3" t="str">
        <f>+EDITABLE!C142</f>
        <v>PARLANTES</v>
      </c>
      <c r="D132" s="3" t="str">
        <f>+EDITABLE!D142</f>
        <v>NEGRO</v>
      </c>
      <c r="E132" s="3" t="str">
        <f>+EDITABLE!E142</f>
        <v>INS</v>
      </c>
      <c r="F132" s="3" t="str">
        <f>+EDITABLE!F142</f>
        <v>S/M</v>
      </c>
      <c r="G132" s="5" t="str">
        <f>+EDITABLE!G142</f>
        <v>S/S</v>
      </c>
      <c r="H132" s="3" t="str">
        <f>+EDITABLE!H142</f>
        <v>TESORERÍA</v>
      </c>
      <c r="I132" s="3" t="str">
        <f>+EDITABLE!I142</f>
        <v>BUENO</v>
      </c>
      <c r="J132" s="3" t="str">
        <f>+EDITABLE!J142</f>
        <v>CON CABLE DE AUDIO Y ENERGIA, REDONDOS</v>
      </c>
      <c r="K132" s="2">
        <f>+EDITABLE!K142</f>
        <v>15</v>
      </c>
      <c r="L132" s="24">
        <f>+EDITABLE!L142</f>
        <v>44353</v>
      </c>
    </row>
    <row r="133" spans="1:13" x14ac:dyDescent="0.25">
      <c r="A133" s="3" t="str">
        <f>+EDITABLE!A143</f>
        <v>IMPRTESORERÍ</v>
      </c>
      <c r="B133" s="6">
        <f>+EDITABLE!B143</f>
        <v>1</v>
      </c>
      <c r="C133" s="3" t="str">
        <f>+EDITABLE!C143</f>
        <v>IMPRESORA</v>
      </c>
      <c r="D133" s="3" t="str">
        <f>+EDITABLE!D143</f>
        <v>NEGRO</v>
      </c>
      <c r="E133" s="3" t="str">
        <f>+EDITABLE!E143</f>
        <v>EPSON</v>
      </c>
      <c r="F133" s="3" t="str">
        <f>+EDITABLE!F143</f>
        <v>L3150</v>
      </c>
      <c r="G133" s="5" t="str">
        <f>+EDITABLE!G143</f>
        <v>X7GP301960</v>
      </c>
      <c r="H133" s="3" t="str">
        <f>+EDITABLE!H143</f>
        <v>TESORERÍA</v>
      </c>
      <c r="I133" s="3" t="str">
        <f>+EDITABLE!I143</f>
        <v>BUENO</v>
      </c>
      <c r="J133" s="3" t="str">
        <f>+EDITABLE!J143</f>
        <v>CON TINTA CONTINUA A COLORES CABLE DE DATOS Y CABLE DE ENERGIA</v>
      </c>
      <c r="K133" s="2">
        <f>+EDITABLE!K143</f>
        <v>185</v>
      </c>
      <c r="L133" s="24">
        <f>+EDITABLE!L143</f>
        <v>44375</v>
      </c>
    </row>
    <row r="134" spans="1:13" x14ac:dyDescent="0.25">
      <c r="A134" s="3" t="str">
        <f>+EDITABLE!A144</f>
        <v>DISCTESORERÍ</v>
      </c>
      <c r="B134" s="6">
        <f>+EDITABLE!B144</f>
        <v>1</v>
      </c>
      <c r="C134" s="3" t="str">
        <f>+EDITABLE!C144</f>
        <v>DISCO DURO EXTERNO</v>
      </c>
      <c r="D134" s="3" t="str">
        <f>+EDITABLE!D144</f>
        <v>NEGRO</v>
      </c>
      <c r="E134" s="3" t="str">
        <f>+EDITABLE!E144</f>
        <v>CAGATE</v>
      </c>
      <c r="F134" s="3" t="str">
        <f>+EDITABLE!F144</f>
        <v>SRD0NF1</v>
      </c>
      <c r="G134" s="5" t="str">
        <f>+EDITABLE!G144</f>
        <v>NAC59CMO</v>
      </c>
      <c r="H134" s="3" t="str">
        <f>+EDITABLE!H144</f>
        <v>TESORERÍA</v>
      </c>
      <c r="I134" s="3" t="str">
        <f>+EDITABLE!I144</f>
        <v>BUENO</v>
      </c>
      <c r="J134" s="3" t="str">
        <f>+EDITABLE!J144</f>
        <v>1 TERRABIT Y CABLE DE DATOS</v>
      </c>
      <c r="K134" s="2">
        <f>+EDITABLE!K144</f>
        <v>80</v>
      </c>
      <c r="L134" s="24">
        <f>+EDITABLE!L144</f>
        <v>44624</v>
      </c>
    </row>
    <row r="135" spans="1:13" x14ac:dyDescent="0.25">
      <c r="A135" s="3" t="str">
        <f>+EDITABLE!A145</f>
        <v>REGUTESORERÍ</v>
      </c>
      <c r="B135" s="6">
        <f>+EDITABLE!B145</f>
        <v>1</v>
      </c>
      <c r="C135" s="3" t="str">
        <f>+EDITABLE!C145</f>
        <v>REGULADOR DE VOLTAJE</v>
      </c>
      <c r="D135" s="3" t="str">
        <f>+EDITABLE!D145</f>
        <v>NEGRO</v>
      </c>
      <c r="E135" s="3" t="str">
        <f>+EDITABLE!E145</f>
        <v>FORZA</v>
      </c>
      <c r="F135" s="3" t="str">
        <f>+EDITABLE!F145</f>
        <v>FVR-1221USB</v>
      </c>
      <c r="G135" s="5" t="str">
        <f>+EDITABLE!G145</f>
        <v>2405-18637791</v>
      </c>
      <c r="H135" s="3" t="str">
        <f>+EDITABLE!H145</f>
        <v>TESORERÍA</v>
      </c>
      <c r="I135" s="3" t="str">
        <f>+EDITABLE!I145</f>
        <v>BUENO</v>
      </c>
      <c r="J135" s="3" t="str">
        <f>+EDITABLE!J145</f>
        <v>DE 8 TOMAS Y 2 DE USB</v>
      </c>
      <c r="K135" s="2">
        <f>+EDITABLE!K145</f>
        <v>30</v>
      </c>
      <c r="L135" s="24">
        <f>+EDITABLE!L145</f>
        <v>45489</v>
      </c>
    </row>
    <row r="136" spans="1:13" x14ac:dyDescent="0.25">
      <c r="A136" s="3" t="str">
        <f>+EDITABLE!A146</f>
        <v>COMPTESORERÍ</v>
      </c>
      <c r="B136" s="6">
        <f>+EDITABLE!B146</f>
        <v>1</v>
      </c>
      <c r="C136" s="3" t="str">
        <f>+EDITABLE!C146</f>
        <v>COMPUTADOR PORTATIL</v>
      </c>
      <c r="D136" s="3" t="str">
        <f>+EDITABLE!D146</f>
        <v>GRIS</v>
      </c>
      <c r="E136" s="3" t="str">
        <f>+EDITABLE!E146</f>
        <v>HP</v>
      </c>
      <c r="F136" s="3" t="str">
        <f>+EDITABLE!F146</f>
        <v>HP435</v>
      </c>
      <c r="G136" s="5" t="str">
        <f>+EDITABLE!G146</f>
        <v>00194-912-060-753</v>
      </c>
      <c r="H136" s="3" t="str">
        <f>+EDITABLE!H146</f>
        <v>TESORERÍA</v>
      </c>
      <c r="I136" s="3" t="str">
        <f>+EDITABLE!I146</f>
        <v>REGULAR</v>
      </c>
      <c r="J136" s="3" t="str">
        <f>+EDITABLE!J146</f>
        <v>WINDOWS 2009, PROCESADOR: ADM ATHOM (TH) II P360 DUAL-CORE PROCESOR 2.30 GHZ, RAM 2 GB, 64 BITS, INTERNET WIFI Y CABLE</v>
      </c>
      <c r="K136" s="2">
        <f>+EDITABLE!K146</f>
        <v>100</v>
      </c>
      <c r="L136" s="24">
        <f>+EDITABLE!L146</f>
        <v>44222</v>
      </c>
    </row>
    <row r="137" spans="1:13" x14ac:dyDescent="0.25">
      <c r="A137" s="3" t="str">
        <f>+EDITABLE!A147</f>
        <v>BASETESORERÍ</v>
      </c>
      <c r="B137" s="6">
        <f>+EDITABLE!B147</f>
        <v>1</v>
      </c>
      <c r="C137" s="3" t="str">
        <f>+EDITABLE!C147</f>
        <v>BASE TELEFÓNICA</v>
      </c>
      <c r="D137" s="3" t="str">
        <f>+EDITABLE!D147</f>
        <v>NEGRO</v>
      </c>
      <c r="E137" s="3" t="str">
        <f>+EDITABLE!E147</f>
        <v>GRANDSTREAM</v>
      </c>
      <c r="F137" s="3" t="str">
        <f>+EDITABLE!F147</f>
        <v>GRP2601P</v>
      </c>
      <c r="G137" s="5" t="str">
        <f>+EDITABLE!G147</f>
        <v>20EZ41MM70628CE2</v>
      </c>
      <c r="H137" s="3" t="str">
        <f>+EDITABLE!H147</f>
        <v>TESORERÍA</v>
      </c>
      <c r="I137" s="3" t="str">
        <f>+EDITABLE!I147</f>
        <v>BUENO</v>
      </c>
      <c r="J137" s="3" t="str">
        <f>+EDITABLE!J147</f>
        <v>LLAMADAS INTERNAS, CABLE DE CONECCIÓN, CABLE ENERGIA</v>
      </c>
      <c r="K137" s="2">
        <f>+EDITABLE!K147</f>
        <v>20</v>
      </c>
      <c r="L137" s="24">
        <f>+EDITABLE!L147</f>
        <v>44841</v>
      </c>
    </row>
    <row r="138" spans="1:13" x14ac:dyDescent="0.25">
      <c r="A138" s="3" t="str">
        <f>+EDITABLE!A148</f>
        <v>ADAPTESORERÍ</v>
      </c>
      <c r="B138" s="6">
        <f>+EDITABLE!B148</f>
        <v>1</v>
      </c>
      <c r="C138" s="3" t="str">
        <f>+EDITABLE!C148</f>
        <v>ADAPTADOR DE INTERNET USB</v>
      </c>
      <c r="D138" s="3" t="str">
        <f>+EDITABLE!D148</f>
        <v>BLANCO</v>
      </c>
      <c r="E138" s="3" t="str">
        <f>+EDITABLE!E148</f>
        <v>ANERA</v>
      </c>
      <c r="F138" s="3" t="str">
        <f>+EDITABLE!F148</f>
        <v>SB208B</v>
      </c>
      <c r="G138" s="5">
        <f>+EDITABLE!G148</f>
        <v>8152</v>
      </c>
      <c r="H138" s="3" t="str">
        <f>+EDITABLE!H148</f>
        <v>TESORERÍA</v>
      </c>
      <c r="I138" s="3" t="str">
        <f>+EDITABLE!I148</f>
        <v>BUENO</v>
      </c>
      <c r="J138" s="3" t="str">
        <f>+EDITABLE!J148</f>
        <v>CONVIERTE LA SEÑAL DE INTERNET DE USB A RJ45</v>
      </c>
      <c r="K138" s="2">
        <f>+EDITABLE!K148</f>
        <v>10</v>
      </c>
      <c r="L138" s="24">
        <f>+EDITABLE!L148</f>
        <v>45288</v>
      </c>
    </row>
    <row r="139" spans="1:13" x14ac:dyDescent="0.25">
      <c r="A139" s="3" t="str">
        <f>+EDITABLE!A149</f>
        <v/>
      </c>
      <c r="B139" s="6">
        <f>+EDITABLE!B149</f>
        <v>0</v>
      </c>
      <c r="C139" s="3">
        <f>+EDITABLE!C149</f>
        <v>0</v>
      </c>
      <c r="D139" s="3">
        <f>+EDITABLE!D149</f>
        <v>0</v>
      </c>
      <c r="E139" s="3">
        <f>+EDITABLE!E149</f>
        <v>0</v>
      </c>
      <c r="F139" s="3">
        <f>+EDITABLE!F149</f>
        <v>0</v>
      </c>
      <c r="G139" s="5">
        <f>+EDITABLE!G149</f>
        <v>0</v>
      </c>
      <c r="H139" s="3">
        <f>+EDITABLE!H149</f>
        <v>0</v>
      </c>
      <c r="I139" s="3">
        <f>+EDITABLE!I149</f>
        <v>0</v>
      </c>
      <c r="J139" s="3">
        <f>+EDITABLE!J149</f>
        <v>0</v>
      </c>
      <c r="K139" s="2">
        <f>+EDITABLE!K149</f>
        <v>0</v>
      </c>
      <c r="L139" s="24">
        <f>+EDITABLE!L149</f>
        <v>0</v>
      </c>
    </row>
    <row r="140" spans="1:13" x14ac:dyDescent="0.25">
      <c r="A140" s="3"/>
      <c r="B140" s="6">
        <f>+EDITABLE!B150</f>
        <v>0</v>
      </c>
      <c r="C140" s="3">
        <f>+EDITABLE!C150</f>
        <v>0</v>
      </c>
      <c r="D140" s="3">
        <f>+EDITABLE!D150</f>
        <v>0</v>
      </c>
      <c r="E140" s="3">
        <f>+EDITABLE!E150</f>
        <v>0</v>
      </c>
      <c r="F140" s="3">
        <f>+EDITABLE!F150</f>
        <v>0</v>
      </c>
      <c r="G140" s="5">
        <f>+EDITABLE!G150</f>
        <v>0</v>
      </c>
      <c r="H140" s="3">
        <f>+EDITABLE!H150</f>
        <v>0</v>
      </c>
      <c r="I140" s="3">
        <f>+EDITABLE!I150</f>
        <v>0</v>
      </c>
      <c r="J140" s="3">
        <f>+EDITABLE!J150</f>
        <v>0</v>
      </c>
      <c r="K140" s="2">
        <f>+EDITABLE!K150</f>
        <v>0</v>
      </c>
      <c r="L140" s="24">
        <f>+EDITABLE!L150</f>
        <v>0</v>
      </c>
    </row>
    <row r="141" spans="1:13" x14ac:dyDescent="0.25">
      <c r="A141" s="3" t="str">
        <f>+EDITABLE!A150</f>
        <v/>
      </c>
      <c r="B141" s="6">
        <f>+EDITABLE!B151</f>
        <v>0</v>
      </c>
      <c r="C141" s="3">
        <f>+EDITABLE!C151</f>
        <v>0</v>
      </c>
      <c r="D141" s="3">
        <f>+EDITABLE!D151</f>
        <v>0</v>
      </c>
      <c r="E141" s="3">
        <f>+EDITABLE!E151</f>
        <v>0</v>
      </c>
      <c r="F141" s="3">
        <f>+EDITABLE!F151</f>
        <v>0</v>
      </c>
      <c r="G141" s="5">
        <f>+EDITABLE!G151</f>
        <v>0</v>
      </c>
      <c r="H141" s="3">
        <f>+EDITABLE!H151</f>
        <v>0</v>
      </c>
      <c r="I141" s="3">
        <f>+EDITABLE!I151</f>
        <v>0</v>
      </c>
      <c r="J141" s="3">
        <f>+EDITABLE!J151</f>
        <v>0</v>
      </c>
      <c r="K141" s="2">
        <f>+EDITABLE!K151</f>
        <v>0</v>
      </c>
      <c r="L141" s="24">
        <f>+EDITABLE!L151</f>
        <v>0</v>
      </c>
    </row>
    <row r="142" spans="1:13" x14ac:dyDescent="0.25">
      <c r="A142" s="3" t="str">
        <f>+EDITABLE!A153</f>
        <v>COMPCONTABIL</v>
      </c>
      <c r="B142" s="6">
        <f>+EDITABLE!B153</f>
        <v>1</v>
      </c>
      <c r="C142" s="3" t="str">
        <f>+EDITABLE!C153</f>
        <v>COMPUTADOR PORTATIL</v>
      </c>
      <c r="D142" s="3" t="str">
        <f>+EDITABLE!D153</f>
        <v>NEGRO</v>
      </c>
      <c r="E142" s="3" t="str">
        <f>+EDITABLE!E153</f>
        <v>DELL</v>
      </c>
      <c r="F142" s="3" t="str">
        <f>+EDITABLE!F153</f>
        <v>INSPIRON 153520</v>
      </c>
      <c r="G142" s="5" t="str">
        <f>+EDITABLE!G153</f>
        <v>S/S</v>
      </c>
      <c r="H142" s="3" t="str">
        <f>+EDITABLE!H153</f>
        <v>CONTABILIDAD</v>
      </c>
      <c r="I142" s="3" t="str">
        <f>+EDITABLE!I153</f>
        <v>BUENO</v>
      </c>
      <c r="J142" s="3" t="str">
        <f>+EDITABLE!J153</f>
        <v>WINDOWS 11 PRO, PROCESADOR: 11TH GEN INTEL ® CORE TM i5-1135G7, 2.40 GHZ, RAM 8 GB, 64 BITS, INTERNET WIFI Y CABLE, CABLE DE ENERGIA</v>
      </c>
      <c r="K142" s="2">
        <f>+EDITABLE!K153</f>
        <v>565.6</v>
      </c>
      <c r="L142" s="24">
        <f>+EDITABLE!L153</f>
        <v>45288</v>
      </c>
      <c r="M142">
        <v>12</v>
      </c>
    </row>
    <row r="143" spans="1:13" x14ac:dyDescent="0.25">
      <c r="A143" s="3" t="str">
        <f>+EDITABLE!A154</f>
        <v>MOUSCONTABIL</v>
      </c>
      <c r="B143" s="6">
        <f>+EDITABLE!B154</f>
        <v>1</v>
      </c>
      <c r="C143" s="3" t="str">
        <f>+EDITABLE!C154</f>
        <v>MOUSE</v>
      </c>
      <c r="D143" s="3" t="str">
        <f>+EDITABLE!D154</f>
        <v>AZUL</v>
      </c>
      <c r="E143" s="3" t="str">
        <f>+EDITABLE!E154</f>
        <v>GENIUS</v>
      </c>
      <c r="F143" s="3" t="str">
        <f>+EDITABLE!F154</f>
        <v>MNDX110</v>
      </c>
      <c r="G143" s="5" t="str">
        <f>+EDITABLE!G154</f>
        <v>S/S</v>
      </c>
      <c r="H143" s="3" t="str">
        <f>+EDITABLE!H154</f>
        <v>CONTABILIDAD</v>
      </c>
      <c r="I143" s="3" t="str">
        <f>+EDITABLE!I154</f>
        <v>BUENO</v>
      </c>
      <c r="J143" s="3" t="str">
        <f>+EDITABLE!J154</f>
        <v>ALAMBRICO, LED, DISEÑO ERGONÓMICO</v>
      </c>
      <c r="K143" s="2">
        <f>+EDITABLE!K154</f>
        <v>6</v>
      </c>
      <c r="L143" s="24">
        <f>+EDITABLE!L154</f>
        <v>44342</v>
      </c>
    </row>
    <row r="144" spans="1:13" x14ac:dyDescent="0.25">
      <c r="A144" s="3" t="str">
        <f>+EDITABLE!A155</f>
        <v>IMPRCONTABIL</v>
      </c>
      <c r="B144" s="6">
        <f>+EDITABLE!B155</f>
        <v>1</v>
      </c>
      <c r="C144" s="3" t="str">
        <f>+EDITABLE!C155</f>
        <v>IMPRESORA</v>
      </c>
      <c r="D144" s="3" t="str">
        <f>+EDITABLE!D155</f>
        <v>NEGRO</v>
      </c>
      <c r="E144" s="3" t="str">
        <f>+EDITABLE!E155</f>
        <v>EPSON</v>
      </c>
      <c r="F144" s="3" t="str">
        <f>+EDITABLE!F155</f>
        <v>L3150</v>
      </c>
      <c r="G144" s="5" t="str">
        <f>+EDITABLE!G155</f>
        <v>XTGP301965</v>
      </c>
      <c r="H144" s="3" t="str">
        <f>+EDITABLE!H155</f>
        <v>CONTABILIDAD</v>
      </c>
      <c r="I144" s="3" t="str">
        <f>+EDITABLE!I155</f>
        <v>REGULAR</v>
      </c>
      <c r="J144" s="3" t="str">
        <f>+EDITABLE!J155</f>
        <v>CON TINTA CONTINUA A COLORES CABLE DE DATOS Y CABLE DE ENERGIA</v>
      </c>
      <c r="K144" s="2">
        <f>+EDITABLE!K155</f>
        <v>185</v>
      </c>
      <c r="L144" s="24">
        <f>+EDITABLE!L155</f>
        <v>44375</v>
      </c>
    </row>
    <row r="145" spans="1:13" x14ac:dyDescent="0.25">
      <c r="A145" s="3" t="str">
        <f>+EDITABLE!A156</f>
        <v>REGUCONTABIL</v>
      </c>
      <c r="B145" s="6">
        <f>+EDITABLE!B156</f>
        <v>1</v>
      </c>
      <c r="C145" s="3" t="str">
        <f>+EDITABLE!C156</f>
        <v>REGULADOR DE VOLTAJE</v>
      </c>
      <c r="D145" s="3" t="str">
        <f>+EDITABLE!D156</f>
        <v>NEGRO</v>
      </c>
      <c r="E145" s="3" t="str">
        <f>+EDITABLE!E156</f>
        <v>FORZA</v>
      </c>
      <c r="F145" s="3" t="str">
        <f>+EDITABLE!F156</f>
        <v>FVR-1221USB</v>
      </c>
      <c r="G145" s="5" t="str">
        <f>+EDITABLE!G156</f>
        <v>2405-18633471</v>
      </c>
      <c r="H145" s="3" t="str">
        <f>+EDITABLE!H156</f>
        <v>CONTABILIDAD</v>
      </c>
      <c r="I145" s="3" t="str">
        <f>+EDITABLE!I156</f>
        <v>BUENO</v>
      </c>
      <c r="J145" s="3" t="str">
        <f>+EDITABLE!J156</f>
        <v>DE 8 TOMAS Y 2 DE USB</v>
      </c>
      <c r="K145" s="2">
        <f>+EDITABLE!K156</f>
        <v>30</v>
      </c>
      <c r="L145" s="24">
        <f>+EDITABLE!L156</f>
        <v>45489</v>
      </c>
    </row>
    <row r="146" spans="1:13" x14ac:dyDescent="0.25">
      <c r="A146" s="3" t="str">
        <f>+EDITABLE!A157</f>
        <v>BASECONTABIL</v>
      </c>
      <c r="B146" s="6">
        <f>+EDITABLE!B157</f>
        <v>1</v>
      </c>
      <c r="C146" s="3" t="str">
        <f>+EDITABLE!C157</f>
        <v>BASE TELEFÓNICA</v>
      </c>
      <c r="D146" s="3" t="str">
        <f>+EDITABLE!D157</f>
        <v>NEGRO</v>
      </c>
      <c r="E146" s="3" t="str">
        <f>+EDITABLE!E157</f>
        <v>GRANDSTREAM</v>
      </c>
      <c r="F146" s="3" t="str">
        <f>+EDITABLE!F157</f>
        <v>GRP2601P</v>
      </c>
      <c r="G146" s="5" t="str">
        <f>+EDITABLE!G157</f>
        <v>20EZ41MM70628CE2</v>
      </c>
      <c r="H146" s="3" t="str">
        <f>+EDITABLE!H157</f>
        <v>CONTABILIDAD</v>
      </c>
      <c r="I146" s="3" t="str">
        <f>+EDITABLE!I157</f>
        <v>BUENO</v>
      </c>
      <c r="J146" s="3" t="str">
        <f>+EDITABLE!J157</f>
        <v>LLAMADAS INTERNAS, CABLE DE CONECCIÓN, CABLE ENERGIA</v>
      </c>
      <c r="K146" s="2">
        <f>+EDITABLE!K157</f>
        <v>20</v>
      </c>
      <c r="L146" s="24">
        <f>+EDITABLE!L157</f>
        <v>44841</v>
      </c>
    </row>
    <row r="147" spans="1:13" x14ac:dyDescent="0.25">
      <c r="A147" s="3" t="str">
        <f>+EDITABLE!A158</f>
        <v>ADAPCONTABIL</v>
      </c>
      <c r="B147" s="6">
        <f>+EDITABLE!B158</f>
        <v>1</v>
      </c>
      <c r="C147" s="3" t="str">
        <f>+EDITABLE!C158</f>
        <v>ADAPTADOR DE INTERNET USB</v>
      </c>
      <c r="D147" s="3" t="str">
        <f>+EDITABLE!D158</f>
        <v>BLANCO</v>
      </c>
      <c r="E147" s="3" t="str">
        <f>+EDITABLE!E158</f>
        <v>ANERA</v>
      </c>
      <c r="F147" s="3" t="str">
        <f>+EDITABLE!F158</f>
        <v>SB208B</v>
      </c>
      <c r="G147" s="5">
        <f>+EDITABLE!G158</f>
        <v>8152</v>
      </c>
      <c r="H147" s="3" t="str">
        <f>+EDITABLE!H158</f>
        <v>CONTABILIDAD</v>
      </c>
      <c r="I147" s="3" t="str">
        <f>+EDITABLE!I158</f>
        <v>BUENO</v>
      </c>
      <c r="J147" s="3" t="str">
        <f>+EDITABLE!J158</f>
        <v>CONVIERTE LA SEÑAL DE INTERNET DE USB A RJ45</v>
      </c>
      <c r="K147" s="2">
        <f>+EDITABLE!K158</f>
        <v>10</v>
      </c>
      <c r="L147" s="24">
        <f>+EDITABLE!L158</f>
        <v>45288</v>
      </c>
    </row>
    <row r="148" spans="1:13" x14ac:dyDescent="0.25">
      <c r="A148" s="3" t="str">
        <f>+EDITABLE!A159</f>
        <v/>
      </c>
      <c r="B148" s="6">
        <f>+EDITABLE!B159</f>
        <v>0</v>
      </c>
      <c r="C148" s="3">
        <f>+EDITABLE!C159</f>
        <v>0</v>
      </c>
      <c r="D148" s="3">
        <f>+EDITABLE!D159</f>
        <v>0</v>
      </c>
      <c r="E148" s="3">
        <f>+EDITABLE!E159</f>
        <v>0</v>
      </c>
      <c r="F148" s="3">
        <f>+EDITABLE!F159</f>
        <v>0</v>
      </c>
      <c r="G148" s="5">
        <f>+EDITABLE!G159</f>
        <v>0</v>
      </c>
      <c r="H148" s="3">
        <f>+EDITABLE!H159</f>
        <v>0</v>
      </c>
      <c r="I148" s="3">
        <f>+EDITABLE!I159</f>
        <v>0</v>
      </c>
      <c r="J148" s="3">
        <f>+EDITABLE!J159</f>
        <v>0</v>
      </c>
      <c r="K148" s="2">
        <f>+EDITABLE!K159</f>
        <v>0</v>
      </c>
      <c r="L148" s="24">
        <f>+EDITABLE!L159</f>
        <v>0</v>
      </c>
    </row>
    <row r="149" spans="1:13" x14ac:dyDescent="0.25">
      <c r="A149" s="3"/>
      <c r="B149" s="6">
        <f>+EDITABLE!B160</f>
        <v>0</v>
      </c>
      <c r="C149" s="3">
        <f>+EDITABLE!C160</f>
        <v>0</v>
      </c>
      <c r="D149" s="3">
        <f>+EDITABLE!D160</f>
        <v>0</v>
      </c>
      <c r="E149" s="3">
        <f>+EDITABLE!E160</f>
        <v>0</v>
      </c>
      <c r="F149" s="3">
        <f>+EDITABLE!F160</f>
        <v>0</v>
      </c>
      <c r="G149" s="5">
        <f>+EDITABLE!G160</f>
        <v>0</v>
      </c>
      <c r="H149" s="3">
        <f>+EDITABLE!H160</f>
        <v>0</v>
      </c>
      <c r="I149" s="3">
        <f>+EDITABLE!I160</f>
        <v>0</v>
      </c>
      <c r="J149" s="3">
        <f>+EDITABLE!J160</f>
        <v>0</v>
      </c>
      <c r="K149" s="2">
        <f>+EDITABLE!K160</f>
        <v>0</v>
      </c>
      <c r="L149" s="24">
        <f>+EDITABLE!L160</f>
        <v>0</v>
      </c>
    </row>
    <row r="150" spans="1:13" x14ac:dyDescent="0.25">
      <c r="A150" s="3" t="str">
        <f>+EDITABLE!A160</f>
        <v/>
      </c>
      <c r="B150" s="6">
        <f>+EDITABLE!B161</f>
        <v>0</v>
      </c>
      <c r="C150" s="3">
        <f>+EDITABLE!C161</f>
        <v>0</v>
      </c>
      <c r="D150" s="3">
        <f>+EDITABLE!D161</f>
        <v>0</v>
      </c>
      <c r="E150" s="3">
        <f>+EDITABLE!E161</f>
        <v>0</v>
      </c>
      <c r="F150" s="3">
        <f>+EDITABLE!F161</f>
        <v>0</v>
      </c>
      <c r="G150" s="5">
        <f>+EDITABLE!G161</f>
        <v>0</v>
      </c>
      <c r="H150" s="3">
        <f>+EDITABLE!H161</f>
        <v>0</v>
      </c>
      <c r="I150" s="3">
        <f>+EDITABLE!I161</f>
        <v>0</v>
      </c>
      <c r="J150" s="3">
        <f>+EDITABLE!J161</f>
        <v>0</v>
      </c>
      <c r="K150" s="2">
        <f>+EDITABLE!K161</f>
        <v>0</v>
      </c>
      <c r="L150" s="24">
        <f>+EDITABLE!L161</f>
        <v>0</v>
      </c>
    </row>
    <row r="151" spans="1:13" x14ac:dyDescent="0.25">
      <c r="A151" s="3" t="str">
        <f>+EDITABLE!A163</f>
        <v>COMPSECRETAR</v>
      </c>
      <c r="B151" s="6">
        <f>+EDITABLE!B163</f>
        <v>1</v>
      </c>
      <c r="C151" s="3" t="str">
        <f>+EDITABLE!C163</f>
        <v>COMPUTADOR PORTATIL</v>
      </c>
      <c r="D151" s="3" t="str">
        <f>+EDITABLE!D163</f>
        <v>NEGRO</v>
      </c>
      <c r="E151" s="3" t="str">
        <f>+EDITABLE!E163</f>
        <v>DELL</v>
      </c>
      <c r="F151" s="3" t="str">
        <f>+EDITABLE!F163</f>
        <v>INSPIRON 153520</v>
      </c>
      <c r="G151" s="5" t="str">
        <f>+EDITABLE!G163</f>
        <v>S/S</v>
      </c>
      <c r="H151" s="3" t="str">
        <f>+EDITABLE!H163</f>
        <v>SECRETARÍA AACC Y ESCUELA</v>
      </c>
      <c r="I151" s="3" t="str">
        <f>+EDITABLE!I163</f>
        <v>BUENO</v>
      </c>
      <c r="J151" s="3" t="str">
        <f>+EDITABLE!J163</f>
        <v>WINDOWS 11 PRO, PROCESADOR: 11TH GEN INTEL ® CORE TM i5-1135G7, 2.40 GHZ, RAM 8 GB, 64 BITS, INTERNET WIFI Y CABLE, CABLE DE ENERGIA</v>
      </c>
      <c r="K151" s="2">
        <f>+EDITABLE!K163</f>
        <v>565.6</v>
      </c>
      <c r="L151" s="24">
        <f>+EDITABLE!L163</f>
        <v>45288</v>
      </c>
      <c r="M151">
        <v>13</v>
      </c>
    </row>
    <row r="152" spans="1:13" x14ac:dyDescent="0.25">
      <c r="A152" s="3" t="str">
        <f>+EDITABLE!A164</f>
        <v>COMPSECRETAR</v>
      </c>
      <c r="B152" s="6">
        <f>+EDITABLE!B164</f>
        <v>1</v>
      </c>
      <c r="C152" s="3" t="str">
        <f>+EDITABLE!C164</f>
        <v>COMPUTADOR PORTATIL</v>
      </c>
      <c r="D152" s="3" t="str">
        <f>+EDITABLE!D164</f>
        <v>NEGRO</v>
      </c>
      <c r="E152" s="3" t="str">
        <f>+EDITABLE!E164</f>
        <v>DELL</v>
      </c>
      <c r="F152" s="3" t="str">
        <f>+EDITABLE!F164</f>
        <v>INSPIRON 153520</v>
      </c>
      <c r="G152" s="5" t="str">
        <f>+EDITABLE!G164</f>
        <v>S/S</v>
      </c>
      <c r="H152" s="3" t="str">
        <f>+EDITABLE!H164</f>
        <v>SECRETARÍA AACC Y ESCUELA</v>
      </c>
      <c r="I152" s="3" t="str">
        <f>+EDITABLE!I164</f>
        <v>BUENO</v>
      </c>
      <c r="J152" s="3" t="str">
        <f>+EDITABLE!J164</f>
        <v>WINDOWS 11 PRO, PROCESADOR: 11TH GEN INTEL ® CORE TM i5-1135G7, 2.40 GHZ, RAM 8 GB, 64 BITS, INTERNET WIFI Y CABLE, CABLE DE ENERGIA</v>
      </c>
      <c r="K152" s="2">
        <f>+EDITABLE!K164</f>
        <v>565.6</v>
      </c>
      <c r="L152" s="24">
        <f>+EDITABLE!L164</f>
        <v>45288</v>
      </c>
    </row>
    <row r="153" spans="1:13" x14ac:dyDescent="0.25">
      <c r="A153" s="3" t="str">
        <f>+EDITABLE!A165</f>
        <v>MOUSSECRETAR</v>
      </c>
      <c r="B153" s="6">
        <f>+EDITABLE!B165</f>
        <v>1</v>
      </c>
      <c r="C153" s="3" t="str">
        <f>+EDITABLE!C165</f>
        <v>MOUSE</v>
      </c>
      <c r="D153" s="3" t="str">
        <f>+EDITABLE!D165</f>
        <v>AZUL</v>
      </c>
      <c r="E153" s="3" t="str">
        <f>+EDITABLE!E165</f>
        <v>GENIUS</v>
      </c>
      <c r="F153" s="3" t="str">
        <f>+EDITABLE!F165</f>
        <v>DX-110</v>
      </c>
      <c r="G153" s="5" t="str">
        <f>+EDITABLE!G165</f>
        <v>S/S</v>
      </c>
      <c r="H153" s="3" t="str">
        <f>+EDITABLE!H165</f>
        <v>SECRETARÍA AACC Y ESCUELA</v>
      </c>
      <c r="I153" s="3" t="str">
        <f>+EDITABLE!I165</f>
        <v>BUENO</v>
      </c>
      <c r="J153" s="3" t="str">
        <f>+EDITABLE!J165</f>
        <v>ALAMBRICO, LED, DISEÑO ERGONÓMICO</v>
      </c>
      <c r="K153" s="2">
        <f>+EDITABLE!K165</f>
        <v>6</v>
      </c>
      <c r="L153" s="24">
        <f>+EDITABLE!L165</f>
        <v>44342</v>
      </c>
    </row>
    <row r="154" spans="1:13" x14ac:dyDescent="0.25">
      <c r="A154" s="3" t="str">
        <f>+EDITABLE!A166</f>
        <v>MOUSSECRETAR</v>
      </c>
      <c r="B154" s="6">
        <f>+EDITABLE!B166</f>
        <v>1</v>
      </c>
      <c r="C154" s="3" t="str">
        <f>+EDITABLE!C166</f>
        <v>MOUSE</v>
      </c>
      <c r="D154" s="3" t="str">
        <f>+EDITABLE!D166</f>
        <v>AZUL</v>
      </c>
      <c r="E154" s="3" t="str">
        <f>+EDITABLE!E166</f>
        <v>GENIUS</v>
      </c>
      <c r="F154" s="3" t="str">
        <f>+EDITABLE!F166</f>
        <v>X2L96548901359</v>
      </c>
      <c r="G154" s="5" t="str">
        <f>+EDITABLE!G166</f>
        <v>S/S</v>
      </c>
      <c r="H154" s="3" t="str">
        <f>+EDITABLE!H166</f>
        <v>SECRETARÍA AACC Y ESCUELA</v>
      </c>
      <c r="I154" s="3" t="str">
        <f>+EDITABLE!I166</f>
        <v>BUENO</v>
      </c>
      <c r="J154" s="3" t="str">
        <f>+EDITABLE!J166</f>
        <v>ALAMBRICO, LED, DISEÑO ERGONÓMICO</v>
      </c>
      <c r="K154" s="2">
        <f>+EDITABLE!K166</f>
        <v>6</v>
      </c>
      <c r="L154" s="24">
        <f>+EDITABLE!L166</f>
        <v>44342</v>
      </c>
    </row>
    <row r="155" spans="1:13" x14ac:dyDescent="0.25">
      <c r="A155" s="3" t="str">
        <f>+EDITABLE!A167</f>
        <v>IMPRSECRETAR</v>
      </c>
      <c r="B155" s="6">
        <f>+EDITABLE!B167</f>
        <v>1</v>
      </c>
      <c r="C155" s="3" t="str">
        <f>+EDITABLE!C167</f>
        <v>IMPRESORA</v>
      </c>
      <c r="D155" s="3" t="str">
        <f>+EDITABLE!D167</f>
        <v>NEGRO</v>
      </c>
      <c r="E155" s="3" t="str">
        <f>+EDITABLE!E167</f>
        <v>EPSON</v>
      </c>
      <c r="F155" s="3" t="str">
        <f>+EDITABLE!F167</f>
        <v>L555</v>
      </c>
      <c r="G155" s="5" t="str">
        <f>+EDITABLE!G167</f>
        <v>S4VY113976</v>
      </c>
      <c r="H155" s="3" t="str">
        <f>+EDITABLE!H167</f>
        <v>SECRETARÍA AACC Y ESCUELA</v>
      </c>
      <c r="I155" s="3" t="str">
        <f>+EDITABLE!I167</f>
        <v>BUENO</v>
      </c>
      <c r="J155" s="3" t="str">
        <f>+EDITABLE!J167</f>
        <v>CON TINTA CONTINUA A COLORES CABLE DE DATOS Y CABLE DE ENERGIA</v>
      </c>
      <c r="K155" s="2">
        <f>+EDITABLE!K167</f>
        <v>200</v>
      </c>
      <c r="L155" s="24">
        <f>+EDITABLE!L167</f>
        <v>44205</v>
      </c>
    </row>
    <row r="156" spans="1:13" x14ac:dyDescent="0.25">
      <c r="A156" s="3" t="str">
        <f>+EDITABLE!A168</f>
        <v>PARLSECRETAR</v>
      </c>
      <c r="B156" s="6">
        <f>+EDITABLE!B168</f>
        <v>1</v>
      </c>
      <c r="C156" s="3" t="str">
        <f>+EDITABLE!C168</f>
        <v>PARLANTES</v>
      </c>
      <c r="D156" s="3" t="str">
        <f>+EDITABLE!D168</f>
        <v>NEGRO/AZUL</v>
      </c>
      <c r="E156" s="3" t="str">
        <f>+EDITABLE!E168</f>
        <v>ALTEK</v>
      </c>
      <c r="F156" s="3" t="str">
        <f>+EDITABLE!F168</f>
        <v>S/M</v>
      </c>
      <c r="G156" s="5" t="str">
        <f>+EDITABLE!G168</f>
        <v>3856130601122</v>
      </c>
      <c r="H156" s="3" t="str">
        <f>+EDITABLE!H168</f>
        <v>SECRETARÍA AACC Y ESCUELA</v>
      </c>
      <c r="I156" s="3" t="str">
        <f>+EDITABLE!I168</f>
        <v>BUENO</v>
      </c>
      <c r="J156" s="3" t="str">
        <f>+EDITABLE!J168</f>
        <v>CON CABLE DE AUDIO Y ENERGIA, REDONDOS</v>
      </c>
      <c r="K156" s="2">
        <f>+EDITABLE!K168</f>
        <v>15</v>
      </c>
      <c r="L156" s="24">
        <f>+EDITABLE!L168</f>
        <v>44342</v>
      </c>
    </row>
    <row r="157" spans="1:13" x14ac:dyDescent="0.25">
      <c r="A157" s="3" t="str">
        <f>+EDITABLE!A169</f>
        <v>REGUSECRETAR</v>
      </c>
      <c r="B157" s="6">
        <f>+EDITABLE!B169</f>
        <v>1</v>
      </c>
      <c r="C157" s="3" t="str">
        <f>+EDITABLE!C169</f>
        <v>REGULADOR DE VOLTAJE</v>
      </c>
      <c r="D157" s="3" t="str">
        <f>+EDITABLE!D169</f>
        <v>NEGRO</v>
      </c>
      <c r="E157" s="3" t="str">
        <f>+EDITABLE!E169</f>
        <v>FORZA</v>
      </c>
      <c r="F157" s="3" t="str">
        <f>+EDITABLE!F169</f>
        <v>FVR-1221USB</v>
      </c>
      <c r="G157" s="5" t="str">
        <f>+EDITABLE!G169</f>
        <v>2405-18633471</v>
      </c>
      <c r="H157" s="3" t="str">
        <f>+EDITABLE!H169</f>
        <v>SECRETARÍA AACC Y ESCUELA</v>
      </c>
      <c r="I157" s="3" t="str">
        <f>+EDITABLE!I169</f>
        <v>BUENO</v>
      </c>
      <c r="J157" s="3" t="str">
        <f>+EDITABLE!J169</f>
        <v>DE 8 TOMAS Y 2 DE USB</v>
      </c>
      <c r="K157" s="2">
        <f>+EDITABLE!K169</f>
        <v>30</v>
      </c>
      <c r="L157" s="24">
        <f>+EDITABLE!L169</f>
        <v>45489</v>
      </c>
    </row>
    <row r="158" spans="1:13" x14ac:dyDescent="0.25">
      <c r="A158" s="3" t="str">
        <f>+EDITABLE!A170</f>
        <v>REGUSECRETAR</v>
      </c>
      <c r="B158" s="6">
        <f>+EDITABLE!B170</f>
        <v>1</v>
      </c>
      <c r="C158" s="3" t="str">
        <f>+EDITABLE!C170</f>
        <v>REGULADOR DE VOLTAJE</v>
      </c>
      <c r="D158" s="3" t="str">
        <f>+EDITABLE!D170</f>
        <v>NEGRO</v>
      </c>
      <c r="E158" s="3" t="str">
        <f>+EDITABLE!E170</f>
        <v>ALTEK</v>
      </c>
      <c r="F158" s="3" t="str">
        <f>+EDITABLE!F170</f>
        <v>AVR 1600SN</v>
      </c>
      <c r="G158" s="5">
        <f>+EDITABLE!G170</f>
        <v>120312598</v>
      </c>
      <c r="H158" s="3" t="str">
        <f>+EDITABLE!H170</f>
        <v>SECRETARÍA AACC Y ESCUELA</v>
      </c>
      <c r="I158" s="3" t="str">
        <f>+EDITABLE!I170</f>
        <v>BUENO</v>
      </c>
      <c r="J158" s="3" t="str">
        <f>+EDITABLE!J170</f>
        <v>DE 8 TOMAS, 200V</v>
      </c>
      <c r="K158" s="2">
        <f>+EDITABLE!K170</f>
        <v>17</v>
      </c>
      <c r="L158" s="24">
        <f>+EDITABLE!L170</f>
        <v>44342</v>
      </c>
    </row>
    <row r="159" spans="1:13" x14ac:dyDescent="0.25">
      <c r="A159" s="3" t="str">
        <f>+EDITABLE!A171</f>
        <v>REGUSECRETAR</v>
      </c>
      <c r="B159" s="6">
        <f>+EDITABLE!B171</f>
        <v>1</v>
      </c>
      <c r="C159" s="3" t="str">
        <f>+EDITABLE!C171</f>
        <v>REGULADOR DE VOLTAJE</v>
      </c>
      <c r="D159" s="3" t="str">
        <f>+EDITABLE!D171</f>
        <v>NEGRO</v>
      </c>
      <c r="E159" s="3" t="str">
        <f>+EDITABLE!E171</f>
        <v>ALTEK</v>
      </c>
      <c r="F159" s="3" t="str">
        <f>+EDITABLE!F171</f>
        <v>AVR 1600SN</v>
      </c>
      <c r="G159" s="5">
        <f>+EDITABLE!G171</f>
        <v>120312486</v>
      </c>
      <c r="H159" s="3" t="str">
        <f>+EDITABLE!H171</f>
        <v>SECRETARÍA AACC Y ESCUELA</v>
      </c>
      <c r="I159" s="3" t="str">
        <f>+EDITABLE!I171</f>
        <v>BUENO</v>
      </c>
      <c r="J159" s="3" t="str">
        <f>+EDITABLE!J171</f>
        <v>DE 8 TOMAS, 200V</v>
      </c>
      <c r="K159" s="2">
        <f>+EDITABLE!K171</f>
        <v>17</v>
      </c>
      <c r="L159" s="24">
        <f>+EDITABLE!L171</f>
        <v>44342</v>
      </c>
    </row>
    <row r="160" spans="1:13" x14ac:dyDescent="0.25">
      <c r="A160" s="3" t="str">
        <f>+EDITABLE!A172</f>
        <v>BASESECRETAR</v>
      </c>
      <c r="B160" s="6">
        <f>+EDITABLE!B172</f>
        <v>1</v>
      </c>
      <c r="C160" s="3" t="str">
        <f>+EDITABLE!C172</f>
        <v>BASE TELEFÓNICA</v>
      </c>
      <c r="D160" s="3" t="str">
        <f>+EDITABLE!D172</f>
        <v>NEGRO</v>
      </c>
      <c r="E160" s="3" t="str">
        <f>+EDITABLE!E172</f>
        <v>GRANDSTREAM</v>
      </c>
      <c r="F160" s="3" t="str">
        <f>+EDITABLE!F172</f>
        <v>GRP2601P</v>
      </c>
      <c r="G160" s="5" t="str">
        <f>+EDITABLE!G172</f>
        <v>20EZ41MM70628CE2</v>
      </c>
      <c r="H160" s="3" t="str">
        <f>+EDITABLE!H172</f>
        <v>SECRETARÍA AACC Y ESCUELA</v>
      </c>
      <c r="I160" s="3" t="str">
        <f>+EDITABLE!I172</f>
        <v>BUENO</v>
      </c>
      <c r="J160" s="3" t="str">
        <f>+EDITABLE!J172</f>
        <v>LLAMADAS INTERNAS, CABLE DE CONECCIÓN, CABLE ENERGIA</v>
      </c>
      <c r="K160" s="2">
        <f>+EDITABLE!K172</f>
        <v>20</v>
      </c>
      <c r="L160" s="24">
        <f>+EDITABLE!L172</f>
        <v>44841</v>
      </c>
    </row>
    <row r="161" spans="1:13" x14ac:dyDescent="0.25">
      <c r="A161" s="3" t="str">
        <f>+EDITABLE!A173</f>
        <v>BASESECRETAR</v>
      </c>
      <c r="B161" s="6">
        <f>+EDITABLE!B173</f>
        <v>1</v>
      </c>
      <c r="C161" s="3" t="str">
        <f>+EDITABLE!C173</f>
        <v>BASE TELEFÓNICA</v>
      </c>
      <c r="D161" s="3" t="str">
        <f>+EDITABLE!D173</f>
        <v>NEGRO</v>
      </c>
      <c r="E161" s="3" t="str">
        <f>+EDITABLE!E173</f>
        <v>GRANDSTREAM</v>
      </c>
      <c r="F161" s="3" t="str">
        <f>+EDITABLE!F173</f>
        <v>GRP2601P</v>
      </c>
      <c r="G161" s="5" t="str">
        <f>+EDITABLE!G173</f>
        <v>20EZ41MM70628CE2</v>
      </c>
      <c r="H161" s="3" t="str">
        <f>+EDITABLE!H173</f>
        <v>SECRETARÍA AACC Y ESCUELA</v>
      </c>
      <c r="I161" s="3" t="str">
        <f>+EDITABLE!I173</f>
        <v>BUENO</v>
      </c>
      <c r="J161" s="3" t="str">
        <f>+EDITABLE!J173</f>
        <v>LLAMADAS INTERNAS, CABLE DE CONECCIÓN, CABLE ENERGIA</v>
      </c>
      <c r="K161" s="2">
        <f>+EDITABLE!K173</f>
        <v>20</v>
      </c>
      <c r="L161" s="24">
        <f>+EDITABLE!L173</f>
        <v>44841</v>
      </c>
    </row>
    <row r="162" spans="1:13" x14ac:dyDescent="0.25">
      <c r="A162" s="3" t="str">
        <f>+EDITABLE!A174</f>
        <v>PARLSECRETAR</v>
      </c>
      <c r="B162" s="6">
        <f>+EDITABLE!B174</f>
        <v>1</v>
      </c>
      <c r="C162" s="3" t="str">
        <f>+EDITABLE!C174</f>
        <v xml:space="preserve">PARLANTES </v>
      </c>
      <c r="D162" s="3" t="str">
        <f>+EDITABLE!D174</f>
        <v>NEGRO Y GRIS</v>
      </c>
      <c r="E162" s="3" t="str">
        <f>+EDITABLE!E174</f>
        <v>DELUX</v>
      </c>
      <c r="F162" s="3" t="str">
        <f>+EDITABLE!F174</f>
        <v>S-20121</v>
      </c>
      <c r="G162" s="5" t="str">
        <f>+EDITABLE!G174</f>
        <v>S/S</v>
      </c>
      <c r="H162" s="3" t="str">
        <f>+EDITABLE!H174</f>
        <v>SECRETARÍA AACC Y ESCUELA</v>
      </c>
      <c r="I162" s="3" t="str">
        <f>+EDITABLE!I174</f>
        <v>BUENO</v>
      </c>
      <c r="J162" s="3" t="str">
        <f>+EDITABLE!J174</f>
        <v>CON CABLE DE SONIDO Y ENERGIA</v>
      </c>
      <c r="K162" s="2">
        <f>+EDITABLE!K174</f>
        <v>15</v>
      </c>
      <c r="L162" s="24">
        <f>+EDITABLE!L174</f>
        <v>45288</v>
      </c>
    </row>
    <row r="163" spans="1:13" x14ac:dyDescent="0.25">
      <c r="A163" s="3" t="str">
        <f>+EDITABLE!A175</f>
        <v>SWITSECRETAR</v>
      </c>
      <c r="B163" s="6">
        <f>+EDITABLE!B175</f>
        <v>1</v>
      </c>
      <c r="C163" s="3" t="str">
        <f>+EDITABLE!C175</f>
        <v>SWITCH DE INTERNET</v>
      </c>
      <c r="D163" s="3" t="str">
        <f>+EDITABLE!D175</f>
        <v>NEGRO</v>
      </c>
      <c r="E163" s="3" t="str">
        <f>+EDITABLE!E175</f>
        <v>ADVANTEK</v>
      </c>
      <c r="F163" s="3" t="str">
        <f>+EDITABLE!F175</f>
        <v>ANS-16P</v>
      </c>
      <c r="G163" s="5" t="str">
        <f>+EDITABLE!G175</f>
        <v>0647E010005</v>
      </c>
      <c r="H163" s="3" t="str">
        <f>+EDITABLE!H175</f>
        <v>SECRETARÍA AACC Y ESCUELA</v>
      </c>
      <c r="I163" s="3" t="str">
        <f>+EDITABLE!I175</f>
        <v>BUENO</v>
      </c>
      <c r="J163" s="3" t="str">
        <f>+EDITABLE!J175</f>
        <v>DE 16 TOMAS PARA CABLES DE RED RJ45</v>
      </c>
      <c r="K163" s="2">
        <f>+EDITABLE!K175</f>
        <v>39</v>
      </c>
      <c r="L163" s="24">
        <f>+EDITABLE!L175</f>
        <v>45288</v>
      </c>
    </row>
    <row r="164" spans="1:13" x14ac:dyDescent="0.25">
      <c r="A164" s="3" t="str">
        <f>+EDITABLE!A176</f>
        <v>CPUSECRETAR</v>
      </c>
      <c r="B164" s="6">
        <f>+EDITABLE!B176</f>
        <v>1</v>
      </c>
      <c r="C164" s="3" t="str">
        <f>+EDITABLE!C176</f>
        <v>CPU</v>
      </c>
      <c r="D164" s="3" t="str">
        <f>+EDITABLE!D176</f>
        <v>NEGRO</v>
      </c>
      <c r="E164" s="3" t="str">
        <f>+EDITABLE!E176</f>
        <v>ALTEK</v>
      </c>
      <c r="F164" s="3" t="str">
        <f>+EDITABLE!F176</f>
        <v>S/M</v>
      </c>
      <c r="G164" s="5" t="str">
        <f>+EDITABLE!G176</f>
        <v>6808110700138</v>
      </c>
      <c r="H164" s="3" t="str">
        <f>+EDITABLE!H176</f>
        <v>SECRETARÍA AACC Y ESCUELA</v>
      </c>
      <c r="I164" s="3" t="str">
        <f>+EDITABLE!I176</f>
        <v>BUENO</v>
      </c>
      <c r="J164" s="3" t="str">
        <f>+EDITABLE!J176</f>
        <v>WINDOWS 10 PRO, PROCESADOR: INTEL R CORE TM i5-2300, 2.80 GHZ, RAM 4 GB, 64 BITS, INTERNET POR CABLE</v>
      </c>
      <c r="K164" s="2">
        <f>+EDITABLE!K176</f>
        <v>250</v>
      </c>
      <c r="L164" s="24">
        <f>+EDITABLE!L176</f>
        <v>45288</v>
      </c>
    </row>
    <row r="165" spans="1:13" x14ac:dyDescent="0.25">
      <c r="A165" s="3" t="str">
        <f>+EDITABLE!A177</f>
        <v>MOUSSECRETAR</v>
      </c>
      <c r="B165" s="6">
        <f>+EDITABLE!B177</f>
        <v>1</v>
      </c>
      <c r="C165" s="3" t="str">
        <f>+EDITABLE!C177</f>
        <v>MOUSE</v>
      </c>
      <c r="D165" s="3" t="str">
        <f>+EDITABLE!D177</f>
        <v>NEGRO/GRIS</v>
      </c>
      <c r="E165" s="3" t="str">
        <f>+EDITABLE!E177</f>
        <v>DELUX</v>
      </c>
      <c r="F165" s="3" t="str">
        <f>+EDITABLE!F177</f>
        <v>S/M</v>
      </c>
      <c r="G165" s="5" t="str">
        <f>+EDITABLE!G177</f>
        <v>S/S</v>
      </c>
      <c r="H165" s="3" t="str">
        <f>+EDITABLE!H177</f>
        <v>SECRETARÍA AACC Y ESCUELA</v>
      </c>
      <c r="I165" s="3" t="str">
        <f>+EDITABLE!I177</f>
        <v>BUENO</v>
      </c>
      <c r="J165" s="3" t="str">
        <f>+EDITABLE!J177</f>
        <v>ALAMBRICO Y LUZ LED, USB</v>
      </c>
      <c r="K165" s="2">
        <f>+EDITABLE!K177</f>
        <v>5</v>
      </c>
      <c r="L165" s="24">
        <f>+EDITABLE!L177</f>
        <v>45288</v>
      </c>
    </row>
    <row r="166" spans="1:13" x14ac:dyDescent="0.25">
      <c r="A166" s="3" t="str">
        <f>+EDITABLE!A178</f>
        <v>TECLSECRETAR</v>
      </c>
      <c r="B166" s="6">
        <f>+EDITABLE!B178</f>
        <v>1</v>
      </c>
      <c r="C166" s="3" t="str">
        <f>+EDITABLE!C178</f>
        <v>TECLADO</v>
      </c>
      <c r="D166" s="3" t="str">
        <f>+EDITABLE!D178</f>
        <v>NEGRO</v>
      </c>
      <c r="E166" s="3" t="str">
        <f>+EDITABLE!E178</f>
        <v>ALTEK</v>
      </c>
      <c r="F166" s="3" t="str">
        <f>+EDITABLE!F178</f>
        <v>S/M</v>
      </c>
      <c r="G166" s="5" t="str">
        <f>+EDITABLE!G178</f>
        <v>3856130601360</v>
      </c>
      <c r="H166" s="3" t="str">
        <f>+EDITABLE!H178</f>
        <v>SECRETARÍA AACC Y ESCUELA</v>
      </c>
      <c r="I166" s="3" t="str">
        <f>+EDITABLE!I178</f>
        <v>BUENO</v>
      </c>
      <c r="J166" s="3" t="str">
        <f>+EDITABLE!J178</f>
        <v>ALAMBRICO, HERGONÓMICO, VARIOS USOS, CONECTOR USB</v>
      </c>
      <c r="K166" s="2">
        <f>+EDITABLE!K178</f>
        <v>17</v>
      </c>
      <c r="L166" s="24">
        <f>+EDITABLE!L178</f>
        <v>45288</v>
      </c>
    </row>
    <row r="167" spans="1:13" x14ac:dyDescent="0.25">
      <c r="A167" s="3" t="str">
        <f>+EDITABLE!A179</f>
        <v>MONISECRETAR</v>
      </c>
      <c r="B167" s="6">
        <f>+EDITABLE!B179</f>
        <v>1</v>
      </c>
      <c r="C167" s="3" t="str">
        <f>+EDITABLE!C179</f>
        <v>MONITOR</v>
      </c>
      <c r="D167" s="3" t="str">
        <f>+EDITABLE!D179</f>
        <v>NEGRO</v>
      </c>
      <c r="E167" s="3" t="str">
        <f>+EDITABLE!E179</f>
        <v>AOK</v>
      </c>
      <c r="F167" s="3" t="str">
        <f>+EDITABLE!F179</f>
        <v>E2070S</v>
      </c>
      <c r="G167" s="5" t="str">
        <f>+EDITABLE!G179</f>
        <v>HNFF71A002934</v>
      </c>
      <c r="H167" s="3" t="str">
        <f>+EDITABLE!H179</f>
        <v>SECRETARÍA AACC Y ESCUELA</v>
      </c>
      <c r="I167" s="3" t="str">
        <f>+EDITABLE!I179</f>
        <v>BUENO</v>
      </c>
      <c r="J167" s="3" t="str">
        <f>+EDITABLE!J179</f>
        <v xml:space="preserve">19.5" </v>
      </c>
      <c r="K167" s="2">
        <f>+EDITABLE!K179</f>
        <v>60</v>
      </c>
      <c r="L167" s="24">
        <f>+EDITABLE!L179</f>
        <v>45288</v>
      </c>
    </row>
    <row r="168" spans="1:13" x14ac:dyDescent="0.25">
      <c r="A168" s="3" t="str">
        <f>+EDITABLE!A180</f>
        <v>DISCSECRETAR</v>
      </c>
      <c r="B168" s="6">
        <f>+EDITABLE!B180</f>
        <v>1</v>
      </c>
      <c r="C168" s="3" t="str">
        <f>+EDITABLE!C180</f>
        <v>DISCO DURO EXTERNO</v>
      </c>
      <c r="D168" s="3" t="str">
        <f>+EDITABLE!D180</f>
        <v>NEGRO/ROJO</v>
      </c>
      <c r="E168" s="3" t="str">
        <f>+EDITABLE!E180</f>
        <v>ADATA</v>
      </c>
      <c r="F168" s="3" t="str">
        <f>+EDITABLE!F180</f>
        <v>HD770G-2T</v>
      </c>
      <c r="G168" s="5" t="str">
        <f>+EDITABLE!G180</f>
        <v>1K0620262633</v>
      </c>
      <c r="H168" s="3" t="str">
        <f>+EDITABLE!H180</f>
        <v>SECRETARÍA AACC Y ESCUELA</v>
      </c>
      <c r="I168" s="3" t="str">
        <f>+EDITABLE!I180</f>
        <v>BUENO</v>
      </c>
      <c r="J168" s="3" t="str">
        <f>+EDITABLE!J180</f>
        <v>CAPACIDAD DE UN TERRA BIT</v>
      </c>
      <c r="K168" s="2">
        <f>+EDITABLE!K180</f>
        <v>80</v>
      </c>
      <c r="L168" s="24">
        <f>+EDITABLE!L180</f>
        <v>44281</v>
      </c>
    </row>
    <row r="169" spans="1:13" x14ac:dyDescent="0.25">
      <c r="A169" s="3" t="str">
        <f>+EDITABLE!A181</f>
        <v>ADAPSECRETAR</v>
      </c>
      <c r="B169" s="6">
        <f>+EDITABLE!B181</f>
        <v>1</v>
      </c>
      <c r="C169" s="3" t="str">
        <f>+EDITABLE!C181</f>
        <v>ADAPTADOR DE INTERNET USB</v>
      </c>
      <c r="D169" s="3" t="str">
        <f>+EDITABLE!D181</f>
        <v>BLANCO</v>
      </c>
      <c r="E169" s="3" t="str">
        <f>+EDITABLE!E181</f>
        <v>ANERA</v>
      </c>
      <c r="F169" s="3" t="str">
        <f>+EDITABLE!F181</f>
        <v>SB208B</v>
      </c>
      <c r="G169" s="5">
        <f>+EDITABLE!G181</f>
        <v>8152</v>
      </c>
      <c r="H169" s="3" t="str">
        <f>+EDITABLE!H181</f>
        <v>SECRETARÍA AACC Y ESCUELA</v>
      </c>
      <c r="I169" s="3" t="str">
        <f>+EDITABLE!I181</f>
        <v>BUENO</v>
      </c>
      <c r="J169" s="3" t="str">
        <f>+EDITABLE!J181</f>
        <v>CONVIERTE LA SEÑAL DE INTERNET DE USB A RJ45</v>
      </c>
      <c r="K169" s="2">
        <f>+EDITABLE!K181</f>
        <v>10</v>
      </c>
      <c r="L169" s="24">
        <f>+EDITABLE!L181</f>
        <v>45288</v>
      </c>
    </row>
    <row r="170" spans="1:13" x14ac:dyDescent="0.25">
      <c r="A170" s="3" t="str">
        <f>+EDITABLE!A182</f>
        <v>FLASSECRETAR</v>
      </c>
      <c r="B170" s="6">
        <f>+EDITABLE!B182</f>
        <v>1</v>
      </c>
      <c r="C170" s="3" t="str">
        <f>+EDITABLE!C182</f>
        <v>FLASH MEMORY</v>
      </c>
      <c r="D170" s="3" t="str">
        <f>+EDITABLE!D182</f>
        <v>NEGRO AZUL</v>
      </c>
      <c r="E170" s="3" t="str">
        <f>+EDITABLE!E182</f>
        <v>KINGSTON</v>
      </c>
      <c r="F170" s="3" t="str">
        <f>+EDITABLE!F182</f>
        <v>S/M</v>
      </c>
      <c r="G170" s="5" t="str">
        <f>+EDITABLE!G182</f>
        <v>S/S</v>
      </c>
      <c r="H170" s="3" t="str">
        <f>+EDITABLE!H182</f>
        <v>SECRETARÍA AACC Y ESCUELA</v>
      </c>
      <c r="I170" s="3" t="str">
        <f>+EDITABLE!I182</f>
        <v>BUENO</v>
      </c>
      <c r="J170" s="3" t="str">
        <f>+EDITABLE!J182</f>
        <v>USB DE 64 GB</v>
      </c>
      <c r="K170" s="2">
        <f>+EDITABLE!K182</f>
        <v>8</v>
      </c>
      <c r="L170" s="24">
        <f>+EDITABLE!L182</f>
        <v>45288</v>
      </c>
    </row>
    <row r="171" spans="1:13" x14ac:dyDescent="0.25">
      <c r="A171" s="3" t="str">
        <f>+EDITABLE!A183</f>
        <v>GRABSECRETAR</v>
      </c>
      <c r="B171" s="6">
        <f>+EDITABLE!B183</f>
        <v>1</v>
      </c>
      <c r="C171" s="3" t="str">
        <f>+EDITABLE!C183</f>
        <v>GRABADORA DE VOZ</v>
      </c>
      <c r="D171" s="3" t="str">
        <f>+EDITABLE!D183</f>
        <v>NEGRO</v>
      </c>
      <c r="E171" s="3" t="str">
        <f>+EDITABLE!E183</f>
        <v>SONY</v>
      </c>
      <c r="F171" s="3" t="str">
        <f>+EDITABLE!F183</f>
        <v>ICD-PX470</v>
      </c>
      <c r="G171" s="5">
        <f>+EDITABLE!G183</f>
        <v>1087329</v>
      </c>
      <c r="H171" s="3" t="str">
        <f>+EDITABLE!H183</f>
        <v>SECRETARÍA AACC Y ESCUELA</v>
      </c>
      <c r="I171" s="3" t="str">
        <f>+EDITABLE!I183</f>
        <v>BUENO</v>
      </c>
      <c r="J171" s="3" t="str">
        <f>+EDITABLE!J183</f>
        <v>GRABADORA DE VOZ, BATERIA 1.5 UVX2 , AAA</v>
      </c>
      <c r="K171" s="2">
        <f>+EDITABLE!K183</f>
        <v>25</v>
      </c>
      <c r="L171" s="24">
        <f>+EDITABLE!L183</f>
        <v>45288</v>
      </c>
    </row>
    <row r="172" spans="1:13" x14ac:dyDescent="0.25">
      <c r="A172" s="3" t="str">
        <f>+EDITABLE!A184</f>
        <v>ADAPSECRETAR</v>
      </c>
      <c r="B172" s="6">
        <f>+EDITABLE!B184</f>
        <v>1</v>
      </c>
      <c r="C172" s="3" t="str">
        <f>+EDITABLE!C184</f>
        <v>ADAPTADOR DE INTERNET USB</v>
      </c>
      <c r="D172" s="3" t="str">
        <f>+EDITABLE!D184</f>
        <v>BLANCO</v>
      </c>
      <c r="E172" s="3" t="str">
        <f>+EDITABLE!E184</f>
        <v>ANERA</v>
      </c>
      <c r="F172" s="3" t="str">
        <f>+EDITABLE!F184</f>
        <v>SB208B</v>
      </c>
      <c r="G172" s="5">
        <f>+EDITABLE!G184</f>
        <v>8152</v>
      </c>
      <c r="H172" s="3" t="str">
        <f>+EDITABLE!H184</f>
        <v>SECRETARÍA AACC Y ESCUELA</v>
      </c>
      <c r="I172" s="3" t="str">
        <f>+EDITABLE!I184</f>
        <v>BUENO</v>
      </c>
      <c r="J172" s="3" t="str">
        <f>+EDITABLE!J184</f>
        <v>CONVIERTE LA SEÑAL DE INTERNET DE USB A RJ45</v>
      </c>
      <c r="K172" s="2">
        <f>+EDITABLE!K184</f>
        <v>10</v>
      </c>
      <c r="L172" s="24">
        <f>+EDITABLE!L184</f>
        <v>45288</v>
      </c>
    </row>
    <row r="173" spans="1:13" x14ac:dyDescent="0.25">
      <c r="A173" s="3" t="str">
        <f>+EDITABLE!A185</f>
        <v/>
      </c>
      <c r="B173" s="6">
        <f>+EDITABLE!B185</f>
        <v>0</v>
      </c>
      <c r="C173" s="3">
        <f>+EDITABLE!C185</f>
        <v>0</v>
      </c>
      <c r="D173" s="3">
        <f>+EDITABLE!D185</f>
        <v>0</v>
      </c>
      <c r="E173" s="3">
        <f>+EDITABLE!E185</f>
        <v>0</v>
      </c>
      <c r="F173" s="3">
        <f>+EDITABLE!F185</f>
        <v>0</v>
      </c>
      <c r="G173" s="5">
        <f>+EDITABLE!G185</f>
        <v>0</v>
      </c>
      <c r="H173" s="3">
        <f>+EDITABLE!H185</f>
        <v>0</v>
      </c>
      <c r="I173" s="3">
        <f>+EDITABLE!I185</f>
        <v>0</v>
      </c>
      <c r="J173" s="3">
        <f>+EDITABLE!J185</f>
        <v>0</v>
      </c>
      <c r="K173" s="2">
        <f>+EDITABLE!K185</f>
        <v>0</v>
      </c>
      <c r="L173" s="24">
        <f>+EDITABLE!L185</f>
        <v>0</v>
      </c>
    </row>
    <row r="174" spans="1:13" x14ac:dyDescent="0.25">
      <c r="A174" s="3"/>
      <c r="B174" s="6">
        <f>+EDITABLE!B186</f>
        <v>0</v>
      </c>
      <c r="C174" s="3">
        <f>+EDITABLE!C186</f>
        <v>0</v>
      </c>
      <c r="D174" s="3">
        <f>+EDITABLE!D186</f>
        <v>0</v>
      </c>
      <c r="E174" s="3">
        <f>+EDITABLE!E186</f>
        <v>0</v>
      </c>
      <c r="F174" s="3">
        <f>+EDITABLE!F186</f>
        <v>0</v>
      </c>
      <c r="G174" s="5">
        <f>+EDITABLE!G186</f>
        <v>0</v>
      </c>
      <c r="H174" s="3">
        <f>+EDITABLE!H186</f>
        <v>0</v>
      </c>
      <c r="I174" s="3">
        <f>+EDITABLE!I186</f>
        <v>0</v>
      </c>
      <c r="J174" s="3">
        <f>+EDITABLE!J186</f>
        <v>0</v>
      </c>
      <c r="K174" s="2">
        <f>+EDITABLE!K186</f>
        <v>0</v>
      </c>
      <c r="L174" s="24">
        <f>+EDITABLE!L186</f>
        <v>0</v>
      </c>
    </row>
    <row r="175" spans="1:13" x14ac:dyDescent="0.25">
      <c r="A175" s="3" t="str">
        <f>+EDITABLE!A186</f>
        <v/>
      </c>
      <c r="B175" s="6">
        <f>+EDITABLE!B187</f>
        <v>0</v>
      </c>
      <c r="C175" s="3">
        <f>+EDITABLE!C187</f>
        <v>0</v>
      </c>
      <c r="D175" s="3">
        <f>+EDITABLE!D187</f>
        <v>0</v>
      </c>
      <c r="E175" s="3">
        <f>+EDITABLE!E187</f>
        <v>0</v>
      </c>
      <c r="F175" s="3">
        <f>+EDITABLE!F187</f>
        <v>0</v>
      </c>
      <c r="G175" s="5">
        <f>+EDITABLE!G187</f>
        <v>0</v>
      </c>
      <c r="H175" s="3">
        <f>+EDITABLE!H187</f>
        <v>0</v>
      </c>
      <c r="I175" s="3">
        <f>+EDITABLE!I187</f>
        <v>0</v>
      </c>
      <c r="J175" s="3">
        <f>+EDITABLE!J187</f>
        <v>0</v>
      </c>
      <c r="K175" s="2">
        <f>+EDITABLE!K187</f>
        <v>0</v>
      </c>
      <c r="L175" s="24">
        <f>+EDITABLE!L187</f>
        <v>0</v>
      </c>
    </row>
    <row r="176" spans="1:13" x14ac:dyDescent="0.25">
      <c r="A176" s="3" t="str">
        <f>+EDITABLE!A189</f>
        <v xml:space="preserve">RELOPASILLO </v>
      </c>
      <c r="B176" s="6">
        <f>+EDITABLE!B189</f>
        <v>1</v>
      </c>
      <c r="C176" s="3" t="str">
        <f>+EDITABLE!C189</f>
        <v>RELOJ BIOMETRICO</v>
      </c>
      <c r="D176" s="3" t="str">
        <f>+EDITABLE!D189</f>
        <v>NEGRO</v>
      </c>
      <c r="E176" s="3" t="str">
        <f>+EDITABLE!E189</f>
        <v>ZK-TECO</v>
      </c>
      <c r="F176" s="3" t="str">
        <f>+EDITABLE!F189</f>
        <v>V300-G-ID</v>
      </c>
      <c r="G176" s="5" t="str">
        <f>+EDITABLE!G189</f>
        <v>6339152700612</v>
      </c>
      <c r="H176" s="3" t="str">
        <f>+EDITABLE!H189</f>
        <v>PASILLO OFICINAS</v>
      </c>
      <c r="I176" s="3" t="str">
        <f>+EDITABLE!I189</f>
        <v>BUENO</v>
      </c>
      <c r="J176" s="3" t="str">
        <f>+EDITABLE!J189</f>
        <v>RECONOCIMIENTO BIOMÉTRICO PRECISO: Utiliza algoritmos de vanguardia para garantizar una identificación precisa de huellas dactilares.
Diseño compacto y elegante: Su diseño estilizado se adapta fácilmente a cualquier entorno y brinda una apariencia moderna.</v>
      </c>
      <c r="K176" s="2">
        <f>+EDITABLE!K189</f>
        <v>250</v>
      </c>
      <c r="L176" s="24">
        <f>+EDITABLE!L189</f>
        <v>45245</v>
      </c>
      <c r="M176">
        <v>14</v>
      </c>
    </row>
    <row r="177" spans="1:13" x14ac:dyDescent="0.25">
      <c r="A177" s="3" t="str">
        <f>+EDITABLE!A190</f>
        <v xml:space="preserve">SENSPASILLO </v>
      </c>
      <c r="B177" s="6">
        <f>+EDITABLE!B190</f>
        <v>1</v>
      </c>
      <c r="C177" s="3" t="str">
        <f>+EDITABLE!C190</f>
        <v>SENSOR DE ALARMA</v>
      </c>
      <c r="D177" s="3" t="str">
        <f>+EDITABLE!D190</f>
        <v>BLANCO</v>
      </c>
      <c r="E177" s="3" t="str">
        <f>+EDITABLE!E190</f>
        <v>DSC</v>
      </c>
      <c r="F177" s="3" t="str">
        <f>+EDITABLE!F190</f>
        <v>LC-100PI</v>
      </c>
      <c r="G177" s="5">
        <f>+EDITABLE!G190</f>
        <v>88030080</v>
      </c>
      <c r="H177" s="3" t="str">
        <f>+EDITABLE!H190</f>
        <v>PASILLO OFICINAS</v>
      </c>
      <c r="I177" s="3" t="str">
        <f>+EDITABLE!I190</f>
        <v>BUENO</v>
      </c>
      <c r="J177" s="3" t="str">
        <f>+EDITABLE!J190</f>
        <v>CONECTADA AL SISTEMA DE ALARMAS</v>
      </c>
      <c r="K177" s="2">
        <f>+EDITABLE!K190</f>
        <v>20</v>
      </c>
      <c r="L177" s="24">
        <f>+EDITABLE!L190</f>
        <v>44841</v>
      </c>
    </row>
    <row r="178" spans="1:13" x14ac:dyDescent="0.25">
      <c r="A178" s="3" t="str">
        <f>+EDITABLE!A191</f>
        <v xml:space="preserve">LÁMPPASILLO </v>
      </c>
      <c r="B178" s="6">
        <f>+EDITABLE!B191</f>
        <v>1</v>
      </c>
      <c r="C178" s="3" t="str">
        <f>+EDITABLE!C191</f>
        <v>LÁMPARA DE EMERGENCIA</v>
      </c>
      <c r="D178" s="3" t="str">
        <f>+EDITABLE!D191</f>
        <v>BLANCO</v>
      </c>
      <c r="E178" s="3" t="str">
        <f>+EDITABLE!E191</f>
        <v>SIYLVIANA</v>
      </c>
      <c r="F178" s="3" t="str">
        <f>+EDITABLE!F191</f>
        <v>S/M</v>
      </c>
      <c r="G178" s="5" t="str">
        <f>+EDITABLE!G191</f>
        <v>S/S</v>
      </c>
      <c r="H178" s="3" t="str">
        <f>+EDITABLE!H191</f>
        <v>PASILLO OFICINAS</v>
      </c>
      <c r="I178" s="3" t="str">
        <f>+EDITABLE!I191</f>
        <v>BUENO</v>
      </c>
      <c r="J178" s="3" t="str">
        <f>+EDITABLE!J191</f>
        <v>LUNINARIA DE EMERGENCIA R-1 MINI, FACIL DE MANTENIMIENTO. -DISEÑO COMPACTO CHASIS TERMOPLÁSTICO RETARDANTE AL FUEGO.  -LUZ LED.</v>
      </c>
      <c r="K178" s="2">
        <f>+EDITABLE!K191</f>
        <v>25</v>
      </c>
      <c r="L178" s="24">
        <f>+EDITABLE!L191</f>
        <v>44292</v>
      </c>
    </row>
    <row r="179" spans="1:13" x14ac:dyDescent="0.25">
      <c r="A179" s="3" t="str">
        <f>+EDITABLE!A192</f>
        <v xml:space="preserve">MODEPASILLO </v>
      </c>
      <c r="B179" s="6">
        <f>+EDITABLE!B192</f>
        <v>1</v>
      </c>
      <c r="C179" s="3" t="str">
        <f>+EDITABLE!C192</f>
        <v>MODEM WIFI</v>
      </c>
      <c r="D179" s="3" t="str">
        <f>+EDITABLE!D192</f>
        <v>NEGRO</v>
      </c>
      <c r="E179" s="3" t="str">
        <f>+EDITABLE!E192</f>
        <v>TP-LINK</v>
      </c>
      <c r="F179" s="3" t="str">
        <f>+EDITABLE!F192</f>
        <v>AX1500</v>
      </c>
      <c r="G179" s="5" t="str">
        <f>+EDITABLE!G192</f>
        <v>X2000RM8801355V1.0</v>
      </c>
      <c r="H179" s="3" t="str">
        <f>+EDITABLE!H192</f>
        <v>PASILLO OFICINAS</v>
      </c>
      <c r="I179" s="3" t="str">
        <f>+EDITABLE!I192</f>
        <v>BUENO</v>
      </c>
      <c r="J179" s="3" t="str">
        <f>+EDITABLE!J192</f>
        <v>CONECTIVIDAD A DISPOSITIVOS TECNOLÓGICOS</v>
      </c>
      <c r="K179" s="2">
        <f>+EDITABLE!K192</f>
        <v>65</v>
      </c>
      <c r="L179" s="24">
        <f>+EDITABLE!L192</f>
        <v>44292</v>
      </c>
    </row>
    <row r="180" spans="1:13" x14ac:dyDescent="0.25">
      <c r="A180" s="3" t="str">
        <f>+EDITABLE!A193</f>
        <v xml:space="preserve">COPIPASILLO </v>
      </c>
      <c r="B180" s="6">
        <f>+EDITABLE!B193</f>
        <v>1</v>
      </c>
      <c r="C180" s="3" t="str">
        <f>+EDITABLE!C193</f>
        <v>COPIADORA</v>
      </c>
      <c r="D180" s="3" t="str">
        <f>+EDITABLE!D193</f>
        <v>BLANCO</v>
      </c>
      <c r="E180" s="3" t="str">
        <f>+EDITABLE!E193</f>
        <v>RICHO</v>
      </c>
      <c r="F180" s="3" t="str">
        <f>+EDITABLE!F193</f>
        <v>MPC3504EX</v>
      </c>
      <c r="G180" s="5" t="str">
        <f>+EDITABLE!G193</f>
        <v>C85226864</v>
      </c>
      <c r="H180" s="3" t="str">
        <f>+EDITABLE!H193</f>
        <v>PASILLO OFICINAS</v>
      </c>
      <c r="I180" s="3" t="str">
        <f>+EDITABLE!I193</f>
        <v>BUENO</v>
      </c>
      <c r="J180" s="3" t="str">
        <f>+EDITABLE!J193</f>
        <v>COPIADORA E IMPRESORA A COLOR</v>
      </c>
      <c r="K180" s="2">
        <f>+EDITABLE!K193</f>
        <v>3160.32</v>
      </c>
      <c r="L180" s="24">
        <f>+EDITABLE!L193</f>
        <v>45202</v>
      </c>
    </row>
    <row r="181" spans="1:13" x14ac:dyDescent="0.25">
      <c r="A181" s="3" t="str">
        <f>+EDITABLE!A194</f>
        <v/>
      </c>
      <c r="B181" s="6">
        <f>+EDITABLE!B194</f>
        <v>0</v>
      </c>
      <c r="C181" s="3">
        <f>+EDITABLE!C194</f>
        <v>0</v>
      </c>
      <c r="D181" s="3">
        <f>+EDITABLE!D194</f>
        <v>0</v>
      </c>
      <c r="E181" s="3">
        <f>+EDITABLE!E194</f>
        <v>0</v>
      </c>
      <c r="F181" s="3">
        <f>+EDITABLE!F194</f>
        <v>0</v>
      </c>
      <c r="G181" s="5">
        <f>+EDITABLE!G194</f>
        <v>0</v>
      </c>
      <c r="H181" s="3">
        <f>+EDITABLE!H194</f>
        <v>0</v>
      </c>
      <c r="I181" s="3">
        <f>+EDITABLE!I194</f>
        <v>0</v>
      </c>
      <c r="J181" s="3">
        <f>+EDITABLE!J194</f>
        <v>0</v>
      </c>
      <c r="K181" s="2">
        <f>+EDITABLE!K194</f>
        <v>0</v>
      </c>
      <c r="L181" s="24">
        <f>+EDITABLE!L194</f>
        <v>0</v>
      </c>
    </row>
    <row r="182" spans="1:13" x14ac:dyDescent="0.25">
      <c r="A182" s="3"/>
      <c r="B182" s="6">
        <f>+EDITABLE!B195</f>
        <v>0</v>
      </c>
      <c r="C182" s="3">
        <f>+EDITABLE!C195</f>
        <v>0</v>
      </c>
      <c r="D182" s="3">
        <f>+EDITABLE!D195</f>
        <v>0</v>
      </c>
      <c r="E182" s="3">
        <f>+EDITABLE!E195</f>
        <v>0</v>
      </c>
      <c r="F182" s="3">
        <f>+EDITABLE!F195</f>
        <v>0</v>
      </c>
      <c r="G182" s="5">
        <f>+EDITABLE!G195</f>
        <v>0</v>
      </c>
      <c r="H182" s="3">
        <f>+EDITABLE!H195</f>
        <v>0</v>
      </c>
      <c r="I182" s="3">
        <f>+EDITABLE!I195</f>
        <v>0</v>
      </c>
      <c r="J182" s="3">
        <f>+EDITABLE!J195</f>
        <v>0</v>
      </c>
      <c r="K182" s="2">
        <f>+EDITABLE!K195</f>
        <v>0</v>
      </c>
      <c r="L182" s="24">
        <f>+EDITABLE!L195</f>
        <v>0</v>
      </c>
    </row>
    <row r="183" spans="1:13" x14ac:dyDescent="0.25">
      <c r="A183" s="3" t="str">
        <f>+EDITABLE!A195</f>
        <v/>
      </c>
      <c r="B183" s="6">
        <f>+EDITABLE!B196</f>
        <v>0</v>
      </c>
      <c r="C183" s="3">
        <f>+EDITABLE!C196</f>
        <v>0</v>
      </c>
      <c r="D183" s="3">
        <f>+EDITABLE!D196</f>
        <v>0</v>
      </c>
      <c r="E183" s="3">
        <f>+EDITABLE!E196</f>
        <v>0</v>
      </c>
      <c r="F183" s="3">
        <f>+EDITABLE!F196</f>
        <v>0</v>
      </c>
      <c r="G183" s="5">
        <f>+EDITABLE!G196</f>
        <v>0</v>
      </c>
      <c r="H183" s="3">
        <f>+EDITABLE!H196</f>
        <v>0</v>
      </c>
      <c r="I183" s="3">
        <f>+EDITABLE!I196</f>
        <v>0</v>
      </c>
      <c r="J183" s="3">
        <f>+EDITABLE!J196</f>
        <v>0</v>
      </c>
      <c r="K183" s="2">
        <f>+EDITABLE!K196</f>
        <v>0</v>
      </c>
      <c r="L183" s="24">
        <f>+EDITABLE!L196</f>
        <v>0</v>
      </c>
    </row>
    <row r="184" spans="1:13" x14ac:dyDescent="0.25">
      <c r="A184" s="3" t="str">
        <f>+EDITABLE!A198</f>
        <v xml:space="preserve">LÁMPPASILLO </v>
      </c>
      <c r="B184" s="6">
        <f>+EDITABLE!B198</f>
        <v>1</v>
      </c>
      <c r="C184" s="3" t="str">
        <f>+EDITABLE!C198</f>
        <v>LÁMPARA DE EMERGENCIA</v>
      </c>
      <c r="D184" s="3" t="str">
        <f>+EDITABLE!D198</f>
        <v>BLANCO</v>
      </c>
      <c r="E184" s="3" t="str">
        <f>+EDITABLE!E198</f>
        <v>SIYLVIANA</v>
      </c>
      <c r="F184" s="3" t="str">
        <f>+EDITABLE!F198</f>
        <v>S/M</v>
      </c>
      <c r="G184" s="5" t="str">
        <f>+EDITABLE!G198</f>
        <v>S/S</v>
      </c>
      <c r="H184" s="3" t="str">
        <f>+EDITABLE!H198</f>
        <v>PASILLO GRADAS</v>
      </c>
      <c r="I184" s="3" t="str">
        <f>+EDITABLE!I198</f>
        <v>BUENO</v>
      </c>
      <c r="J184" s="3" t="str">
        <f>+EDITABLE!J198</f>
        <v>LUNINARIA DE EMERGENCIA R-1 MINI, FACIL DE MANTENIMIENTO. -DISEÑO COMPACTO CHASIS TERMOPLÁSTICO RETARDANTE AL FUEGO.  -LUZ LED.</v>
      </c>
      <c r="K184" s="2">
        <f>+EDITABLE!K198</f>
        <v>25</v>
      </c>
      <c r="L184" s="24">
        <f>+EDITABLE!L198</f>
        <v>44292</v>
      </c>
      <c r="M184">
        <v>15</v>
      </c>
    </row>
    <row r="185" spans="1:13" x14ac:dyDescent="0.25">
      <c r="A185" s="3" t="str">
        <f>+EDITABLE!A199</f>
        <v xml:space="preserve">CAMAPASILLO </v>
      </c>
      <c r="B185" s="6">
        <f>+EDITABLE!B199</f>
        <v>1</v>
      </c>
      <c r="C185" s="3" t="str">
        <f>+EDITABLE!C199</f>
        <v>CAMARA VIDEO VIGILANCIA</v>
      </c>
      <c r="D185" s="3" t="str">
        <f>+EDITABLE!D199</f>
        <v>BLANCO</v>
      </c>
      <c r="E185" s="3" t="str">
        <f>+EDITABLE!E199</f>
        <v>HIKVISION</v>
      </c>
      <c r="F185" s="3" t="str">
        <f>+EDITABLE!F199</f>
        <v>S/M</v>
      </c>
      <c r="G185" s="5" t="str">
        <f>+EDITABLE!G199</f>
        <v>S/S</v>
      </c>
      <c r="H185" s="3" t="str">
        <f>+EDITABLE!H199</f>
        <v>PASILLO GRADAS</v>
      </c>
      <c r="I185" s="3" t="str">
        <f>+EDITABLE!I199</f>
        <v>BUENO</v>
      </c>
      <c r="J185" s="3" t="str">
        <f>+EDITABLE!J199</f>
        <v>CONECTADA AL DVR Y VISION EN MOVIL Y CUARTO DE RED</v>
      </c>
      <c r="K185" s="2">
        <f>+EDITABLE!K199</f>
        <v>25</v>
      </c>
      <c r="L185" s="24">
        <f>+EDITABLE!L199</f>
        <v>44841</v>
      </c>
    </row>
    <row r="186" spans="1:13" x14ac:dyDescent="0.25">
      <c r="A186" s="3" t="str">
        <f>+EDITABLE!A200</f>
        <v xml:space="preserve">ALARPASILLO </v>
      </c>
      <c r="B186" s="6">
        <f>+EDITABLE!B200</f>
        <v>1</v>
      </c>
      <c r="C186" s="3" t="str">
        <f>+EDITABLE!C200</f>
        <v>ALARMA</v>
      </c>
      <c r="D186" s="3" t="str">
        <f>+EDITABLE!D200</f>
        <v>BLANCO/ROJO</v>
      </c>
      <c r="E186" s="3" t="str">
        <f>+EDITABLE!E200</f>
        <v>S/M</v>
      </c>
      <c r="F186" s="3" t="str">
        <f>+EDITABLE!F200</f>
        <v>S/M</v>
      </c>
      <c r="G186" s="5" t="str">
        <f>+EDITABLE!G200</f>
        <v>S/S</v>
      </c>
      <c r="H186" s="3" t="str">
        <f>+EDITABLE!H200</f>
        <v>PASILLO GRADAS</v>
      </c>
      <c r="I186" s="3" t="str">
        <f>+EDITABLE!I200</f>
        <v>BUENO</v>
      </c>
      <c r="J186" s="3" t="str">
        <f>+EDITABLE!J200</f>
        <v>SONIDO DE ADVERTENCIA SEGÚN LOS SENSORES</v>
      </c>
      <c r="K186" s="2">
        <f>+EDITABLE!K200</f>
        <v>40</v>
      </c>
      <c r="L186" s="24">
        <f>+EDITABLE!L200</f>
        <v>44841</v>
      </c>
    </row>
    <row r="187" spans="1:13" x14ac:dyDescent="0.25">
      <c r="A187" s="3" t="str">
        <f>+EDITABLE!A201</f>
        <v/>
      </c>
      <c r="B187" s="6">
        <f>+EDITABLE!B201</f>
        <v>0</v>
      </c>
      <c r="C187" s="3">
        <f>+EDITABLE!C201</f>
        <v>0</v>
      </c>
      <c r="D187" s="3">
        <f>+EDITABLE!D201</f>
        <v>0</v>
      </c>
      <c r="E187" s="3">
        <f>+EDITABLE!E201</f>
        <v>0</v>
      </c>
      <c r="F187" s="3">
        <f>+EDITABLE!F201</f>
        <v>0</v>
      </c>
      <c r="G187" s="5">
        <f>+EDITABLE!G201</f>
        <v>0</v>
      </c>
      <c r="H187" s="3">
        <f>+EDITABLE!H201</f>
        <v>0</v>
      </c>
      <c r="I187" s="3">
        <f>+EDITABLE!I201</f>
        <v>0</v>
      </c>
      <c r="J187" s="3">
        <f>+EDITABLE!J201</f>
        <v>0</v>
      </c>
      <c r="K187" s="2">
        <f>+EDITABLE!K201</f>
        <v>0</v>
      </c>
      <c r="L187" s="24">
        <f>+EDITABLE!L201</f>
        <v>0</v>
      </c>
    </row>
    <row r="188" spans="1:13" x14ac:dyDescent="0.25">
      <c r="A188" s="3"/>
      <c r="B188" s="6">
        <f>+EDITABLE!B202</f>
        <v>0</v>
      </c>
      <c r="C188" s="3">
        <f>+EDITABLE!C202</f>
        <v>0</v>
      </c>
      <c r="D188" s="3">
        <f>+EDITABLE!D202</f>
        <v>0</v>
      </c>
      <c r="E188" s="3">
        <f>+EDITABLE!E202</f>
        <v>0</v>
      </c>
      <c r="F188" s="3">
        <f>+EDITABLE!F202</f>
        <v>0</v>
      </c>
      <c r="G188" s="5">
        <f>+EDITABLE!G202</f>
        <v>0</v>
      </c>
      <c r="H188" s="3">
        <f>+EDITABLE!H202</f>
        <v>0</v>
      </c>
      <c r="I188" s="3">
        <f>+EDITABLE!I202</f>
        <v>0</v>
      </c>
      <c r="J188" s="3">
        <f>+EDITABLE!J202</f>
        <v>0</v>
      </c>
      <c r="K188" s="2">
        <f>+EDITABLE!K202</f>
        <v>0</v>
      </c>
      <c r="L188" s="24">
        <f>+EDITABLE!L202</f>
        <v>0</v>
      </c>
    </row>
    <row r="189" spans="1:13" x14ac:dyDescent="0.25">
      <c r="A189" s="3" t="str">
        <f>+EDITABLE!A202</f>
        <v/>
      </c>
      <c r="B189" s="6">
        <f>+EDITABLE!B203</f>
        <v>0</v>
      </c>
      <c r="C189" s="3">
        <f>+EDITABLE!C203</f>
        <v>0</v>
      </c>
      <c r="D189" s="3">
        <f>+EDITABLE!D203</f>
        <v>0</v>
      </c>
      <c r="E189" s="3">
        <f>+EDITABLE!E203</f>
        <v>0</v>
      </c>
      <c r="F189" s="3">
        <f>+EDITABLE!F203</f>
        <v>0</v>
      </c>
      <c r="G189" s="5">
        <f>+EDITABLE!G203</f>
        <v>0</v>
      </c>
      <c r="H189" s="3">
        <f>+EDITABLE!H203</f>
        <v>0</v>
      </c>
      <c r="I189" s="3">
        <f>+EDITABLE!I203</f>
        <v>0</v>
      </c>
      <c r="J189" s="3">
        <f>+EDITABLE!J203</f>
        <v>0</v>
      </c>
      <c r="K189" s="2">
        <f>+EDITABLE!K203</f>
        <v>0</v>
      </c>
      <c r="L189" s="24">
        <f>+EDITABLE!L203</f>
        <v>0</v>
      </c>
    </row>
    <row r="190" spans="1:13" x14ac:dyDescent="0.25">
      <c r="A190" s="3" t="str">
        <f>+EDITABLE!A205</f>
        <v>CONTBODEGA S</v>
      </c>
      <c r="B190" s="6">
        <f>+EDITABLE!B205</f>
        <v>1</v>
      </c>
      <c r="C190" s="3" t="str">
        <f>+EDITABLE!C205</f>
        <v>CONTROL DE ALARMAS Y SENSORES</v>
      </c>
      <c r="D190" s="3" t="str">
        <f>+EDITABLE!D205</f>
        <v>BLANCO</v>
      </c>
      <c r="E190" s="3" t="str">
        <f>+EDITABLE!E205</f>
        <v>S/M</v>
      </c>
      <c r="F190" s="3" t="str">
        <f>+EDITABLE!F205</f>
        <v>S/M</v>
      </c>
      <c r="G190" s="5" t="str">
        <f>+EDITABLE!G205</f>
        <v>S/S</v>
      </c>
      <c r="H190" s="3" t="str">
        <f>+EDITABLE!H205</f>
        <v>BODEGA SUMINISTROS</v>
      </c>
      <c r="I190" s="3" t="str">
        <f>+EDITABLE!I205</f>
        <v>BUENO</v>
      </c>
      <c r="J190" s="3" t="str">
        <f>+EDITABLE!J205</f>
        <v>PARA CONFIGURACIÓN DE LOS SENSORES</v>
      </c>
      <c r="K190" s="2">
        <f>+EDITABLE!K205</f>
        <v>200</v>
      </c>
      <c r="L190" s="24">
        <f>+EDITABLE!L205</f>
        <v>44292</v>
      </c>
      <c r="M190">
        <v>16</v>
      </c>
    </row>
    <row r="191" spans="1:13" x14ac:dyDescent="0.25">
      <c r="A191" s="3" t="str">
        <f>+EDITABLE!A206</f>
        <v/>
      </c>
      <c r="B191" s="6">
        <f>+EDITABLE!B206</f>
        <v>0</v>
      </c>
      <c r="C191" s="3">
        <f>+EDITABLE!C206</f>
        <v>0</v>
      </c>
      <c r="D191" s="3">
        <f>+EDITABLE!D206</f>
        <v>0</v>
      </c>
      <c r="E191" s="3">
        <f>+EDITABLE!E206</f>
        <v>0</v>
      </c>
      <c r="F191" s="3">
        <f>+EDITABLE!F206</f>
        <v>0</v>
      </c>
      <c r="G191" s="5">
        <f>+EDITABLE!G206</f>
        <v>0</v>
      </c>
      <c r="H191" s="3">
        <f>+EDITABLE!H206</f>
        <v>0</v>
      </c>
      <c r="I191" s="3">
        <f>+EDITABLE!I206</f>
        <v>0</v>
      </c>
      <c r="J191" s="3">
        <f>+EDITABLE!J206</f>
        <v>0</v>
      </c>
      <c r="K191" s="2">
        <f>+EDITABLE!K206</f>
        <v>0</v>
      </c>
      <c r="L191" s="24">
        <f>+EDITABLE!L206</f>
        <v>0</v>
      </c>
    </row>
    <row r="192" spans="1:13" x14ac:dyDescent="0.25">
      <c r="A192" s="3"/>
      <c r="B192" s="6">
        <f>+EDITABLE!B207</f>
        <v>0</v>
      </c>
      <c r="C192" s="3">
        <f>+EDITABLE!C207</f>
        <v>0</v>
      </c>
      <c r="D192" s="3">
        <f>+EDITABLE!D207</f>
        <v>0</v>
      </c>
      <c r="E192" s="3">
        <f>+EDITABLE!E207</f>
        <v>0</v>
      </c>
      <c r="F192" s="3">
        <f>+EDITABLE!F207</f>
        <v>0</v>
      </c>
      <c r="G192" s="5">
        <f>+EDITABLE!G207</f>
        <v>0</v>
      </c>
      <c r="H192" s="3">
        <f>+EDITABLE!H207</f>
        <v>0</v>
      </c>
      <c r="I192" s="3">
        <f>+EDITABLE!I207</f>
        <v>0</v>
      </c>
      <c r="J192" s="3">
        <f>+EDITABLE!J207</f>
        <v>0</v>
      </c>
      <c r="K192" s="2">
        <f>+EDITABLE!K207</f>
        <v>0</v>
      </c>
      <c r="L192" s="24">
        <f>+EDITABLE!L207</f>
        <v>0</v>
      </c>
    </row>
    <row r="193" spans="1:13" x14ac:dyDescent="0.25">
      <c r="A193" s="3" t="str">
        <f>+EDITABLE!A207</f>
        <v/>
      </c>
      <c r="B193" s="6">
        <f>+EDITABLE!B208</f>
        <v>0</v>
      </c>
      <c r="C193" s="3">
        <f>+EDITABLE!C208</f>
        <v>0</v>
      </c>
      <c r="D193" s="3">
        <f>+EDITABLE!D208</f>
        <v>0</v>
      </c>
      <c r="E193" s="3">
        <f>+EDITABLE!E208</f>
        <v>0</v>
      </c>
      <c r="F193" s="3">
        <f>+EDITABLE!F208</f>
        <v>0</v>
      </c>
      <c r="G193" s="5">
        <f>+EDITABLE!G208</f>
        <v>0</v>
      </c>
      <c r="H193" s="3">
        <f>+EDITABLE!H208</f>
        <v>0</v>
      </c>
      <c r="I193" s="3">
        <f>+EDITABLE!I208</f>
        <v>0</v>
      </c>
      <c r="J193" s="3">
        <f>+EDITABLE!J208</f>
        <v>0</v>
      </c>
      <c r="K193" s="2">
        <f>+EDITABLE!K208</f>
        <v>0</v>
      </c>
      <c r="L193" s="24">
        <f>+EDITABLE!L208</f>
        <v>0</v>
      </c>
    </row>
    <row r="194" spans="1:13" x14ac:dyDescent="0.25">
      <c r="A194" s="3" t="str">
        <f>+EDITABLE!A210</f>
        <v>COMPINSPECCI</v>
      </c>
      <c r="B194" s="6">
        <f>+EDITABLE!B210</f>
        <v>1</v>
      </c>
      <c r="C194" s="3" t="str">
        <f>+EDITABLE!C210</f>
        <v>COMPUTADOR PORTATIL</v>
      </c>
      <c r="D194" s="3" t="str">
        <f>+EDITABLE!D210</f>
        <v>PLOMO</v>
      </c>
      <c r="E194" s="3" t="str">
        <f>+EDITABLE!E210</f>
        <v>DELL</v>
      </c>
      <c r="F194" s="3" t="str">
        <f>+EDITABLE!F210</f>
        <v>P89G</v>
      </c>
      <c r="G194" s="5">
        <f>+EDITABLE!G210</f>
        <v>26449622139</v>
      </c>
      <c r="H194" s="3" t="str">
        <f>+EDITABLE!H210</f>
        <v>INSPECCIÓN GENERAL</v>
      </c>
      <c r="I194" s="3" t="str">
        <f>+EDITABLE!I210</f>
        <v>BUENO</v>
      </c>
      <c r="J194" s="3" t="str">
        <f>+EDITABLE!J210</f>
        <v>WINDOWS 11 PRO, PROCESADOR: INTEL ® R CORE TM i5-1035G1 CPU, 1.00 GHZ, RAM 8 GB, 64 BITS, INTERNET WIFI Y CABLE, CABLE DE ENERGIA</v>
      </c>
      <c r="K194" s="2">
        <f>+EDITABLE!K210</f>
        <v>400</v>
      </c>
      <c r="L194" s="24">
        <f>+EDITABLE!L210</f>
        <v>45470</v>
      </c>
      <c r="M194">
        <v>17</v>
      </c>
    </row>
    <row r="195" spans="1:13" x14ac:dyDescent="0.25">
      <c r="A195" s="3" t="str">
        <f>+EDITABLE!A211</f>
        <v>BASEINSPECCI</v>
      </c>
      <c r="B195" s="6">
        <f>+EDITABLE!B211</f>
        <v>1</v>
      </c>
      <c r="C195" s="3" t="str">
        <f>+EDITABLE!C211</f>
        <v>BASE TELEFÓNICA</v>
      </c>
      <c r="D195" s="3" t="str">
        <f>+EDITABLE!D211</f>
        <v>NEGRO</v>
      </c>
      <c r="E195" s="3" t="str">
        <f>+EDITABLE!E211</f>
        <v>GRANDSTREAM</v>
      </c>
      <c r="F195" s="3" t="str">
        <f>+EDITABLE!F211</f>
        <v>GRP2601P</v>
      </c>
      <c r="G195" s="5" t="str">
        <f>+EDITABLE!G211</f>
        <v>20EZ41MM70628CE2</v>
      </c>
      <c r="H195" s="3" t="str">
        <f>+EDITABLE!H211</f>
        <v>INSPECCIÓN GENERAL</v>
      </c>
      <c r="I195" s="3" t="str">
        <f>+EDITABLE!I211</f>
        <v>BUENO</v>
      </c>
      <c r="J195" s="3" t="str">
        <f>+EDITABLE!J211</f>
        <v>LLAMADAS INTERNAS, CABLE DE CONECCIÓN, CABLE ENERGIA</v>
      </c>
      <c r="K195" s="2">
        <f>+EDITABLE!K211</f>
        <v>20</v>
      </c>
      <c r="L195" s="24">
        <f>+EDITABLE!L211</f>
        <v>44841</v>
      </c>
    </row>
    <row r="196" spans="1:13" x14ac:dyDescent="0.25">
      <c r="A196" s="3" t="str">
        <f>+EDITABLE!A212</f>
        <v>IMPRINSPECCI</v>
      </c>
      <c r="B196" s="6">
        <f>+EDITABLE!B212</f>
        <v>1</v>
      </c>
      <c r="C196" s="3" t="str">
        <f>+EDITABLE!C212</f>
        <v>IMPRESORA</v>
      </c>
      <c r="D196" s="3" t="str">
        <f>+EDITABLE!D212</f>
        <v>NEGRO</v>
      </c>
      <c r="E196" s="3" t="str">
        <f>+EDITABLE!E212</f>
        <v>EPSON</v>
      </c>
      <c r="F196" s="3" t="str">
        <f>+EDITABLE!F212</f>
        <v>L3150</v>
      </c>
      <c r="G196" s="5" t="str">
        <f>+EDITABLE!G212</f>
        <v>X5E8213728</v>
      </c>
      <c r="H196" s="3" t="str">
        <f>+EDITABLE!H212</f>
        <v>INSPECCIÓN GENERAL</v>
      </c>
      <c r="I196" s="3" t="str">
        <f>+EDITABLE!I212</f>
        <v>BUENO</v>
      </c>
      <c r="J196" s="3" t="str">
        <f>+EDITABLE!J212</f>
        <v>CABKLE DE ENERGIA Y CABLE DE DATOS</v>
      </c>
      <c r="K196" s="2">
        <f>+EDITABLE!K212</f>
        <v>185</v>
      </c>
      <c r="L196" s="24">
        <f>+EDITABLE!L212</f>
        <v>45296</v>
      </c>
    </row>
    <row r="197" spans="1:13" x14ac:dyDescent="0.25">
      <c r="A197" s="3" t="str">
        <f>+EDITABLE!A213</f>
        <v>FLASINSPECCI</v>
      </c>
      <c r="B197" s="6">
        <f>+EDITABLE!B213</f>
        <v>1</v>
      </c>
      <c r="C197" s="3" t="str">
        <f>+EDITABLE!C213</f>
        <v>FLASH MEMORY</v>
      </c>
      <c r="D197" s="3" t="str">
        <f>+EDITABLE!D213</f>
        <v>NEGRO AZUL</v>
      </c>
      <c r="E197" s="3" t="str">
        <f>+EDITABLE!E213</f>
        <v>KINGSTON</v>
      </c>
      <c r="F197" s="3" t="str">
        <f>+EDITABLE!F213</f>
        <v>S/M</v>
      </c>
      <c r="G197" s="5" t="str">
        <f>+EDITABLE!G213</f>
        <v>S/S</v>
      </c>
      <c r="H197" s="3" t="str">
        <f>+EDITABLE!H213</f>
        <v>INSPECCIÓN GENERAL</v>
      </c>
      <c r="I197" s="3" t="str">
        <f>+EDITABLE!I213</f>
        <v>BUENO</v>
      </c>
      <c r="J197" s="3" t="str">
        <f>+EDITABLE!J213</f>
        <v>USB DE 64 GB</v>
      </c>
      <c r="K197" s="2">
        <f>+EDITABLE!K213</f>
        <v>8</v>
      </c>
      <c r="L197" s="24">
        <f>+EDITABLE!L213</f>
        <v>45296</v>
      </c>
    </row>
    <row r="198" spans="1:13" x14ac:dyDescent="0.25">
      <c r="A198" s="3" t="str">
        <f>+EDITABLE!A214</f>
        <v>SWITINSPECCI</v>
      </c>
      <c r="B198" s="6">
        <f>+EDITABLE!B214</f>
        <v>1</v>
      </c>
      <c r="C198" s="3" t="str">
        <f>+EDITABLE!C214</f>
        <v>SWITCH DE INTERNET</v>
      </c>
      <c r="D198" s="3" t="str">
        <f>+EDITABLE!D214</f>
        <v>AZUL</v>
      </c>
      <c r="E198" s="3" t="str">
        <f>+EDITABLE!E214</f>
        <v>GENERICO</v>
      </c>
      <c r="F198" s="3" t="str">
        <f>+EDITABLE!F214</f>
        <v>S/M</v>
      </c>
      <c r="G198" s="5" t="str">
        <f>+EDITABLE!G214</f>
        <v>S/S</v>
      </c>
      <c r="H198" s="3" t="str">
        <f>+EDITABLE!H214</f>
        <v>INSPECCIÓN GENERAL</v>
      </c>
      <c r="I198" s="3" t="str">
        <f>+EDITABLE!I214</f>
        <v>BUENO</v>
      </c>
      <c r="J198" s="3" t="str">
        <f>+EDITABLE!J214</f>
        <v>DE 5 PUERTOS RJ45, TIPO DE COMUNICACIÓN STORE AND FORWARD</v>
      </c>
      <c r="K198" s="2">
        <f>+EDITABLE!K214</f>
        <v>22</v>
      </c>
      <c r="L198" s="24">
        <f>+EDITABLE!L214</f>
        <v>45288</v>
      </c>
    </row>
    <row r="199" spans="1:13" x14ac:dyDescent="0.25">
      <c r="A199" s="3" t="str">
        <f>+EDITABLE!A215</f>
        <v>MOUSINSPECCI</v>
      </c>
      <c r="B199" s="6">
        <f>+EDITABLE!B215</f>
        <v>1</v>
      </c>
      <c r="C199" s="3" t="str">
        <f>+EDITABLE!C215</f>
        <v>MOUSE</v>
      </c>
      <c r="D199" s="3" t="str">
        <f>+EDITABLE!D215</f>
        <v>NEGRO, TRASPARENTE</v>
      </c>
      <c r="E199" s="3" t="str">
        <f>+EDITABLE!E215</f>
        <v>INS</v>
      </c>
      <c r="F199" s="3" t="str">
        <f>+EDITABLE!F215</f>
        <v>S/M</v>
      </c>
      <c r="G199" s="5" t="str">
        <f>+EDITABLE!G215</f>
        <v>S/S</v>
      </c>
      <c r="H199" s="3" t="str">
        <f>+EDITABLE!H215</f>
        <v>INSPECCIÓN GENERAL</v>
      </c>
      <c r="I199" s="3" t="str">
        <f>+EDITABLE!I215</f>
        <v>BUENO</v>
      </c>
      <c r="J199" s="3" t="str">
        <f>+EDITABLE!J215</f>
        <v>ALAMBRICO, LED, OPTICO</v>
      </c>
      <c r="K199" s="2">
        <f>+EDITABLE!K215</f>
        <v>5</v>
      </c>
      <c r="L199" s="24">
        <f>+EDITABLE!L215</f>
        <v>45288</v>
      </c>
    </row>
    <row r="200" spans="1:13" x14ac:dyDescent="0.25">
      <c r="A200" s="3" t="str">
        <f>+EDITABLE!A216</f>
        <v/>
      </c>
      <c r="B200" s="6">
        <f>+EDITABLE!B216</f>
        <v>0</v>
      </c>
      <c r="C200" s="3">
        <f>+EDITABLE!C216</f>
        <v>0</v>
      </c>
      <c r="D200" s="3">
        <f>+EDITABLE!D216</f>
        <v>0</v>
      </c>
      <c r="E200" s="3">
        <f>+EDITABLE!E216</f>
        <v>0</v>
      </c>
      <c r="F200" s="3">
        <f>+EDITABLE!F216</f>
        <v>0</v>
      </c>
      <c r="G200" s="5">
        <f>+EDITABLE!G216</f>
        <v>0</v>
      </c>
      <c r="H200" s="3">
        <f>+EDITABLE!H216</f>
        <v>0</v>
      </c>
      <c r="I200" s="3">
        <f>+EDITABLE!I216</f>
        <v>0</v>
      </c>
      <c r="J200" s="3">
        <f>+EDITABLE!J216</f>
        <v>0</v>
      </c>
      <c r="K200" s="2">
        <f>+EDITABLE!K216</f>
        <v>0</v>
      </c>
      <c r="L200" s="24">
        <f>+EDITABLE!L216</f>
        <v>0</v>
      </c>
    </row>
    <row r="201" spans="1:13" x14ac:dyDescent="0.25">
      <c r="A201" s="3"/>
      <c r="B201" s="6">
        <f>+EDITABLE!B217</f>
        <v>0</v>
      </c>
      <c r="C201" s="3">
        <f>+EDITABLE!C217</f>
        <v>0</v>
      </c>
      <c r="D201" s="3">
        <f>+EDITABLE!D217</f>
        <v>0</v>
      </c>
      <c r="E201" s="3">
        <f>+EDITABLE!E217</f>
        <v>0</v>
      </c>
      <c r="F201" s="3">
        <f>+EDITABLE!F217</f>
        <v>0</v>
      </c>
      <c r="G201" s="5">
        <f>+EDITABLE!G217</f>
        <v>0</v>
      </c>
      <c r="H201" s="3">
        <f>+EDITABLE!H217</f>
        <v>0</v>
      </c>
      <c r="I201" s="3">
        <f>+EDITABLE!I217</f>
        <v>0</v>
      </c>
      <c r="J201" s="3">
        <f>+EDITABLE!J217</f>
        <v>0</v>
      </c>
      <c r="K201" s="2">
        <f>+EDITABLE!K217</f>
        <v>0</v>
      </c>
      <c r="L201" s="24">
        <f>+EDITABLE!L217</f>
        <v>0</v>
      </c>
    </row>
    <row r="202" spans="1:13" x14ac:dyDescent="0.25">
      <c r="A202" s="3" t="str">
        <f>+EDITABLE!A217</f>
        <v/>
      </c>
      <c r="B202" s="6">
        <f>+EDITABLE!B218</f>
        <v>0</v>
      </c>
      <c r="C202" s="3">
        <f>+EDITABLE!C218</f>
        <v>0</v>
      </c>
      <c r="D202" s="3">
        <f>+EDITABLE!D218</f>
        <v>0</v>
      </c>
      <c r="E202" s="3">
        <f>+EDITABLE!E218</f>
        <v>0</v>
      </c>
      <c r="F202" s="3">
        <f>+EDITABLE!F218</f>
        <v>0</v>
      </c>
      <c r="G202" s="5">
        <f>+EDITABLE!G218</f>
        <v>0</v>
      </c>
      <c r="H202" s="3">
        <f>+EDITABLE!H218</f>
        <v>0</v>
      </c>
      <c r="I202" s="3">
        <f>+EDITABLE!I218</f>
        <v>0</v>
      </c>
      <c r="J202" s="3">
        <f>+EDITABLE!J218</f>
        <v>0</v>
      </c>
      <c r="K202" s="2">
        <f>+EDITABLE!K218</f>
        <v>0</v>
      </c>
      <c r="L202" s="24">
        <f>+EDITABLE!L218</f>
        <v>0</v>
      </c>
    </row>
    <row r="203" spans="1:13" x14ac:dyDescent="0.25">
      <c r="A203" s="3" t="str">
        <f>+EDITABLE!A220</f>
        <v>REGUSECRETAR</v>
      </c>
      <c r="B203" s="6">
        <f>+EDITABLE!B220</f>
        <v>1</v>
      </c>
      <c r="C203" s="3" t="str">
        <f>+EDITABLE!C220</f>
        <v>REGULADOR DE VOLTAJE</v>
      </c>
      <c r="D203" s="3" t="str">
        <f>+EDITABLE!D220</f>
        <v>NEGRO</v>
      </c>
      <c r="E203" s="3" t="str">
        <f>+EDITABLE!E220</f>
        <v>INS</v>
      </c>
      <c r="F203" s="3" t="str">
        <f>+EDITABLE!F220</f>
        <v>AVRINS2000VA</v>
      </c>
      <c r="G203" s="5" t="str">
        <f>+EDITABLE!G220</f>
        <v>19C04206298</v>
      </c>
      <c r="H203" s="3" t="str">
        <f>+EDITABLE!H220</f>
        <v>SECRETARIA GENERAL</v>
      </c>
      <c r="I203" s="3" t="str">
        <f>+EDITABLE!I220</f>
        <v>BUENO</v>
      </c>
      <c r="J203" s="3" t="str">
        <f>+EDITABLE!J220</f>
        <v>DE 8 TOMAS, 2000va</v>
      </c>
      <c r="K203" s="2">
        <f>+EDITABLE!K220</f>
        <v>17</v>
      </c>
      <c r="L203" s="24">
        <f>+EDITABLE!L220</f>
        <v>44292</v>
      </c>
      <c r="M203">
        <v>18</v>
      </c>
    </row>
    <row r="204" spans="1:13" x14ac:dyDescent="0.25">
      <c r="A204" s="3" t="str">
        <f>+EDITABLE!A221</f>
        <v>BASESECRETAR</v>
      </c>
      <c r="B204" s="6">
        <f>+EDITABLE!B221</f>
        <v>1</v>
      </c>
      <c r="C204" s="3" t="str">
        <f>+EDITABLE!C221</f>
        <v>BASE TELEFÓNICA</v>
      </c>
      <c r="D204" s="3" t="str">
        <f>+EDITABLE!D221</f>
        <v>NEGRO</v>
      </c>
      <c r="E204" s="3" t="str">
        <f>+EDITABLE!E221</f>
        <v>GRANDSTREAM</v>
      </c>
      <c r="F204" s="3" t="str">
        <f>+EDITABLE!F221</f>
        <v>GRP2601P</v>
      </c>
      <c r="G204" s="5" t="str">
        <f>+EDITABLE!G221</f>
        <v>20EZ41MM70628CE2</v>
      </c>
      <c r="H204" s="3" t="str">
        <f>+EDITABLE!H221</f>
        <v>SECRETARIA GENERAL</v>
      </c>
      <c r="I204" s="3" t="str">
        <f>+EDITABLE!I221</f>
        <v>BUENO</v>
      </c>
      <c r="J204" s="3" t="str">
        <f>+EDITABLE!J221</f>
        <v>LLAMADAS INTERNAS, CABLE DE CONECCIÓN, CABLE ENERGIA</v>
      </c>
      <c r="K204" s="2">
        <f>+EDITABLE!K221</f>
        <v>20</v>
      </c>
      <c r="L204" s="24">
        <f>+EDITABLE!L221</f>
        <v>44841</v>
      </c>
    </row>
    <row r="205" spans="1:13" x14ac:dyDescent="0.25">
      <c r="A205" s="3" t="str">
        <f>+EDITABLE!A222</f>
        <v>IMPRSECRETAR</v>
      </c>
      <c r="B205" s="6">
        <f>+EDITABLE!B222</f>
        <v>1</v>
      </c>
      <c r="C205" s="3" t="str">
        <f>+EDITABLE!C222</f>
        <v>IMPRESORA</v>
      </c>
      <c r="D205" s="3" t="str">
        <f>+EDITABLE!D222</f>
        <v>NEGRO</v>
      </c>
      <c r="E205" s="3" t="str">
        <f>+EDITABLE!E222</f>
        <v>EPSON</v>
      </c>
      <c r="F205" s="3" t="str">
        <f>+EDITABLE!F222</f>
        <v>L3150</v>
      </c>
      <c r="G205" s="5" t="str">
        <f>+EDITABLE!G222</f>
        <v>X5E8213735</v>
      </c>
      <c r="H205" s="3" t="str">
        <f>+EDITABLE!H222</f>
        <v>SECRETARIA GENERAL</v>
      </c>
      <c r="I205" s="3" t="str">
        <f>+EDITABLE!I222</f>
        <v>BUENO</v>
      </c>
      <c r="J205" s="3" t="str">
        <f>+EDITABLE!J222</f>
        <v>CON TINTA CONTINUA A COLORES CABLE DE DATOS Y CABLE DE ENERGIA</v>
      </c>
      <c r="K205" s="2">
        <f>+EDITABLE!K222</f>
        <v>185</v>
      </c>
      <c r="L205" s="24">
        <f>+EDITABLE!L222</f>
        <v>44375</v>
      </c>
    </row>
    <row r="206" spans="1:13" x14ac:dyDescent="0.25">
      <c r="A206" s="3" t="str">
        <f>+EDITABLE!A223</f>
        <v>DISCSECRETAR</v>
      </c>
      <c r="B206" s="6">
        <f>+EDITABLE!B223</f>
        <v>2</v>
      </c>
      <c r="C206" s="3" t="str">
        <f>+EDITABLE!C223</f>
        <v>DISCO DURO EXTERNO</v>
      </c>
      <c r="D206" s="3" t="str">
        <f>+EDITABLE!D223</f>
        <v>GRIS</v>
      </c>
      <c r="E206" s="3" t="str">
        <f>+EDITABLE!E223</f>
        <v>DELL</v>
      </c>
      <c r="F206" s="3" t="str">
        <f>+EDITABLE!F223</f>
        <v>EXOS 7E2</v>
      </c>
      <c r="G206" s="5" t="str">
        <f>+EDITABLE!G223</f>
        <v>ZDS0J5VZ/ZDS0J5C5</v>
      </c>
      <c r="H206" s="3" t="str">
        <f>+EDITABLE!H223</f>
        <v>SECRETARIA GENERAL</v>
      </c>
      <c r="I206" s="3" t="str">
        <f>+EDITABLE!I223</f>
        <v>BUENO</v>
      </c>
      <c r="J206" s="3" t="str">
        <f>+EDITABLE!J223</f>
        <v>RESPALDOS DE INFORMACIÓN</v>
      </c>
      <c r="K206" s="2">
        <f>+EDITABLE!K223</f>
        <v>100</v>
      </c>
      <c r="L206" s="24">
        <f>+EDITABLE!L223</f>
        <v>44616</v>
      </c>
    </row>
    <row r="207" spans="1:13" x14ac:dyDescent="0.25">
      <c r="A207" s="3" t="str">
        <f>+EDITABLE!A224</f>
        <v>CORTSECRETAR</v>
      </c>
      <c r="B207" s="6">
        <f>+EDITABLE!B224</f>
        <v>1</v>
      </c>
      <c r="C207" s="3" t="str">
        <f>+EDITABLE!C224</f>
        <v>CORTA PICOS</v>
      </c>
      <c r="D207" s="3" t="str">
        <f>+EDITABLE!D224</f>
        <v>NEGRA</v>
      </c>
      <c r="E207" s="3" t="str">
        <f>+EDITABLE!E224</f>
        <v>VOLTECH</v>
      </c>
      <c r="F207" s="3" t="str">
        <f>+EDITABLE!F224</f>
        <v>MUL-6E</v>
      </c>
      <c r="G207" s="5" t="str">
        <f>+EDITABLE!G224</f>
        <v>S/S</v>
      </c>
      <c r="H207" s="3" t="str">
        <f>+EDITABLE!H224</f>
        <v>SECRETARIA GENERAL</v>
      </c>
      <c r="I207" s="3" t="str">
        <f>+EDITABLE!I224</f>
        <v>BUENO</v>
      </c>
      <c r="J207" s="3" t="str">
        <f>+EDITABLE!J224</f>
        <v>DE 6 TOMAS</v>
      </c>
      <c r="K207" s="2">
        <f>+EDITABLE!K224</f>
        <v>10</v>
      </c>
      <c r="L207" s="24">
        <f>+EDITABLE!L224</f>
        <v>44292</v>
      </c>
    </row>
    <row r="208" spans="1:13" x14ac:dyDescent="0.25">
      <c r="A208" s="3" t="str">
        <f>+EDITABLE!A225</f>
        <v>REGUSECRETAR</v>
      </c>
      <c r="B208" s="6">
        <f>+EDITABLE!B225</f>
        <v>1</v>
      </c>
      <c r="C208" s="3" t="str">
        <f>+EDITABLE!C225</f>
        <v>REGULADOR DE VOLTAJE</v>
      </c>
      <c r="D208" s="3" t="str">
        <f>+EDITABLE!D225</f>
        <v>NEGRO</v>
      </c>
      <c r="E208" s="3" t="str">
        <f>+EDITABLE!E225</f>
        <v>APEX</v>
      </c>
      <c r="F208" s="3" t="str">
        <f>+EDITABLE!F225</f>
        <v>AVR1500M</v>
      </c>
      <c r="G208" s="5">
        <f>+EDITABLE!G225</f>
        <v>92900971</v>
      </c>
      <c r="H208" s="3" t="str">
        <f>+EDITABLE!H225</f>
        <v>SECRETARIA GENERAL</v>
      </c>
      <c r="I208" s="3" t="str">
        <f>+EDITABLE!I225</f>
        <v>BUENO</v>
      </c>
      <c r="J208" s="3" t="str">
        <f>+EDITABLE!J225</f>
        <v>DE 8 TOMAS Y DOS TOMAS RJ 11 DE TELÉFONO, 1000va</v>
      </c>
      <c r="K208" s="2">
        <f>+EDITABLE!K225</f>
        <v>17</v>
      </c>
      <c r="L208" s="24">
        <f>+EDITABLE!L225</f>
        <v>44292</v>
      </c>
    </row>
    <row r="209" spans="1:13" x14ac:dyDescent="0.25">
      <c r="A209" s="3" t="str">
        <f>+EDITABLE!A226</f>
        <v>TVBOSECRETAR</v>
      </c>
      <c r="B209" s="6">
        <f>+EDITABLE!B226</f>
        <v>1</v>
      </c>
      <c r="C209" s="3" t="str">
        <f>+EDITABLE!C226</f>
        <v>TVBOX</v>
      </c>
      <c r="D209" s="3" t="str">
        <f>+EDITABLE!D226</f>
        <v>NEGRO</v>
      </c>
      <c r="E209" s="3" t="str">
        <f>+EDITABLE!E226</f>
        <v>TVBOX</v>
      </c>
      <c r="F209" s="3" t="str">
        <f>+EDITABLE!F226</f>
        <v>MXPRO4K</v>
      </c>
      <c r="G209" s="5" t="str">
        <f>+EDITABLE!G226</f>
        <v>54011b1daf1f</v>
      </c>
      <c r="H209" s="3" t="str">
        <f>+EDITABLE!H226</f>
        <v>SECRETARIA GENERAL</v>
      </c>
      <c r="I209" s="3" t="str">
        <f>+EDITABLE!I226</f>
        <v>BUENO</v>
      </c>
      <c r="J209" s="3" t="str">
        <f>+EDITABLE!J226</f>
        <v>TIPO DE CONTROL REMOTO DE VOZ, CONECTIVIDAD WIFI Y BLUETOOTH,INTERFAZ DE CONEXIÓN AV, PUERTO: DC JACK.</v>
      </c>
      <c r="K209" s="2">
        <f>+EDITABLE!K226</f>
        <v>70</v>
      </c>
      <c r="L209" s="24">
        <f>+EDITABLE!L226</f>
        <v>45426</v>
      </c>
    </row>
    <row r="210" spans="1:13" x14ac:dyDescent="0.25">
      <c r="A210" s="3" t="str">
        <f>+EDITABLE!A227</f>
        <v>TELESECRETAR</v>
      </c>
      <c r="B210" s="6">
        <f>+EDITABLE!B227</f>
        <v>1</v>
      </c>
      <c r="C210" s="3" t="str">
        <f>+EDITABLE!C227</f>
        <v>TELEVISIÓN PLASMA</v>
      </c>
      <c r="D210" s="3" t="str">
        <f>+EDITABLE!D227</f>
        <v>GRIS</v>
      </c>
      <c r="E210" s="3" t="str">
        <f>+EDITABLE!E227</f>
        <v>SAMSUNG</v>
      </c>
      <c r="F210" s="3" t="str">
        <f>+EDITABLE!F227</f>
        <v>UN70BU8000KXZL</v>
      </c>
      <c r="G210" s="5" t="str">
        <f>+EDITABLE!G227</f>
        <v>0DG43CCT400730E</v>
      </c>
      <c r="H210" s="3" t="str">
        <f>+EDITABLE!H227</f>
        <v>SECRETARIA GENERAL</v>
      </c>
      <c r="I210" s="3" t="str">
        <f>+EDITABLE!I227</f>
        <v>BUENO</v>
      </c>
      <c r="J210" s="3" t="str">
        <f>+EDITABLE!J227</f>
        <v>PLASMA DE 70", CONECTIVIDAD WIFI, USB Y HDMI</v>
      </c>
      <c r="K210" s="2">
        <f>+EDITABLE!K227</f>
        <v>1800</v>
      </c>
      <c r="L210" s="24">
        <f>+EDITABLE!L227</f>
        <v>44873</v>
      </c>
    </row>
    <row r="211" spans="1:13" x14ac:dyDescent="0.25">
      <c r="A211" s="3" t="str">
        <f>+EDITABLE!A228</f>
        <v>CONTSECRETAR</v>
      </c>
      <c r="B211" s="6">
        <f>+EDITABLE!B228</f>
        <v>1</v>
      </c>
      <c r="C211" s="3" t="str">
        <f>+EDITABLE!C228</f>
        <v>CONTROL REMOTO</v>
      </c>
      <c r="D211" s="3" t="str">
        <f>+EDITABLE!D228</f>
        <v>NEGRO</v>
      </c>
      <c r="E211" s="3" t="str">
        <f>+EDITABLE!E228</f>
        <v>SAMSUNG</v>
      </c>
      <c r="F211" s="3" t="str">
        <f>+EDITABLE!F228</f>
        <v>S/M</v>
      </c>
      <c r="G211" s="5" t="str">
        <f>+EDITABLE!G228</f>
        <v>S/S</v>
      </c>
      <c r="H211" s="3" t="str">
        <f>+EDITABLE!H228</f>
        <v>SECRETARIA GENERAL</v>
      </c>
      <c r="I211" s="3" t="str">
        <f>+EDITABLE!I228</f>
        <v>BUENO</v>
      </c>
      <c r="J211" s="3" t="str">
        <f>+EDITABLE!J228</f>
        <v>CONTROL Y MANEJO DE LA TV</v>
      </c>
      <c r="K211" s="2">
        <f>+EDITABLE!K228</f>
        <v>16</v>
      </c>
      <c r="L211" s="24">
        <f>+EDITABLE!L228</f>
        <v>45471</v>
      </c>
    </row>
    <row r="212" spans="1:13" x14ac:dyDescent="0.25">
      <c r="A212" s="3" t="str">
        <f>+EDITABLE!A229</f>
        <v>CONTSECRETAR</v>
      </c>
      <c r="B212" s="6">
        <f>+EDITABLE!B229</f>
        <v>1</v>
      </c>
      <c r="C212" s="3" t="str">
        <f>+EDITABLE!C229</f>
        <v>CONTROL REMOTO</v>
      </c>
      <c r="D212" s="3" t="str">
        <f>+EDITABLE!D229</f>
        <v>NEGRO</v>
      </c>
      <c r="E212" s="3" t="str">
        <f>+EDITABLE!E229</f>
        <v>TVBOX</v>
      </c>
      <c r="F212" s="3" t="str">
        <f>+EDITABLE!F229</f>
        <v>S/M</v>
      </c>
      <c r="G212" s="5" t="str">
        <f>+EDITABLE!G229</f>
        <v>S/S</v>
      </c>
      <c r="H212" s="3" t="str">
        <f>+EDITABLE!H229</f>
        <v>SECRETARIA GENERAL</v>
      </c>
      <c r="I212" s="3" t="str">
        <f>+EDITABLE!I229</f>
        <v>BUENO</v>
      </c>
      <c r="J212" s="3" t="str">
        <f>+EDITABLE!J229</f>
        <v>CONTROL DEL TVBOX</v>
      </c>
      <c r="K212" s="2">
        <f>+EDITABLE!K229</f>
        <v>10</v>
      </c>
      <c r="L212" s="24">
        <f>+EDITABLE!L229</f>
        <v>45426</v>
      </c>
    </row>
    <row r="213" spans="1:13" x14ac:dyDescent="0.25">
      <c r="A213" s="3" t="str">
        <f>+EDITABLE!A230</f>
        <v>SENSSECRETAR</v>
      </c>
      <c r="B213" s="6">
        <f>+EDITABLE!B230</f>
        <v>1</v>
      </c>
      <c r="C213" s="3" t="str">
        <f>+EDITABLE!C230</f>
        <v>SENSOR DE ALARMA</v>
      </c>
      <c r="D213" s="3" t="str">
        <f>+EDITABLE!D230</f>
        <v>BLANCO</v>
      </c>
      <c r="E213" s="3" t="str">
        <f>+EDITABLE!E230</f>
        <v>DSC</v>
      </c>
      <c r="F213" s="3" t="str">
        <f>+EDITABLE!F230</f>
        <v>LC-100PI</v>
      </c>
      <c r="G213" s="5">
        <f>+EDITABLE!G230</f>
        <v>88030080</v>
      </c>
      <c r="H213" s="3" t="str">
        <f>+EDITABLE!H230</f>
        <v>SECRETARIA GENERAL</v>
      </c>
      <c r="I213" s="3" t="str">
        <f>+EDITABLE!I230</f>
        <v>BUENO</v>
      </c>
      <c r="J213" s="3" t="str">
        <f>+EDITABLE!J230</f>
        <v>CONECTADA AL SISTEMA DE ALARMAS</v>
      </c>
      <c r="K213" s="2">
        <f>+EDITABLE!K230</f>
        <v>20</v>
      </c>
      <c r="L213" s="24">
        <f>+EDITABLE!L230</f>
        <v>44841</v>
      </c>
    </row>
    <row r="214" spans="1:13" x14ac:dyDescent="0.25">
      <c r="A214" s="3" t="str">
        <f>+EDITABLE!A231</f>
        <v/>
      </c>
      <c r="B214" s="6">
        <f>+EDITABLE!B231</f>
        <v>0</v>
      </c>
      <c r="C214" s="3">
        <f>+EDITABLE!C231</f>
        <v>0</v>
      </c>
      <c r="D214" s="3">
        <f>+EDITABLE!D231</f>
        <v>0</v>
      </c>
      <c r="E214" s="3">
        <f>+EDITABLE!E231</f>
        <v>0</v>
      </c>
      <c r="F214" s="3">
        <f>+EDITABLE!F231</f>
        <v>0</v>
      </c>
      <c r="G214" s="5">
        <f>+EDITABLE!G231</f>
        <v>0</v>
      </c>
      <c r="H214" s="3">
        <f>+EDITABLE!H231</f>
        <v>0</v>
      </c>
      <c r="I214" s="3">
        <f>+EDITABLE!I231</f>
        <v>0</v>
      </c>
      <c r="J214" s="3">
        <f>+EDITABLE!J231</f>
        <v>0</v>
      </c>
      <c r="K214" s="2">
        <f>+EDITABLE!K231</f>
        <v>0</v>
      </c>
      <c r="L214" s="24">
        <f>+EDITABLE!L231</f>
        <v>0</v>
      </c>
    </row>
    <row r="215" spans="1:13" x14ac:dyDescent="0.25">
      <c r="A215" s="3"/>
      <c r="B215" s="6">
        <f>+EDITABLE!B232</f>
        <v>0</v>
      </c>
      <c r="C215" s="3">
        <f>+EDITABLE!C232</f>
        <v>0</v>
      </c>
      <c r="D215" s="3">
        <f>+EDITABLE!D232</f>
        <v>0</v>
      </c>
      <c r="E215" s="3">
        <f>+EDITABLE!E232</f>
        <v>0</v>
      </c>
      <c r="F215" s="3">
        <f>+EDITABLE!F232</f>
        <v>0</v>
      </c>
      <c r="G215" s="5">
        <f>+EDITABLE!G232</f>
        <v>0</v>
      </c>
      <c r="H215" s="3">
        <f>+EDITABLE!H232</f>
        <v>0</v>
      </c>
      <c r="I215" s="3">
        <f>+EDITABLE!I232</f>
        <v>0</v>
      </c>
      <c r="J215" s="3">
        <f>+EDITABLE!J232</f>
        <v>0</v>
      </c>
      <c r="K215" s="2">
        <f>+EDITABLE!K232</f>
        <v>0</v>
      </c>
      <c r="L215" s="24">
        <f>+EDITABLE!L232</f>
        <v>0</v>
      </c>
    </row>
    <row r="216" spans="1:13" x14ac:dyDescent="0.25">
      <c r="A216" s="3" t="str">
        <f>+EDITABLE!A232</f>
        <v/>
      </c>
      <c r="B216" s="6">
        <f>+EDITABLE!B233</f>
        <v>0</v>
      </c>
      <c r="C216" s="3">
        <f>+EDITABLE!C233</f>
        <v>0</v>
      </c>
      <c r="D216" s="3">
        <f>+EDITABLE!D233</f>
        <v>0</v>
      </c>
      <c r="E216" s="3">
        <f>+EDITABLE!E233</f>
        <v>0</v>
      </c>
      <c r="F216" s="3">
        <f>+EDITABLE!F233</f>
        <v>0</v>
      </c>
      <c r="G216" s="5">
        <f>+EDITABLE!G233</f>
        <v>0</v>
      </c>
      <c r="H216" s="3">
        <f>+EDITABLE!H233</f>
        <v>0</v>
      </c>
      <c r="I216" s="3">
        <f>+EDITABLE!I233</f>
        <v>0</v>
      </c>
      <c r="J216" s="3">
        <f>+EDITABLE!J233</f>
        <v>0</v>
      </c>
      <c r="K216" s="2">
        <f>+EDITABLE!K233</f>
        <v>0</v>
      </c>
      <c r="L216" s="24">
        <f>+EDITABLE!L233</f>
        <v>0</v>
      </c>
    </row>
    <row r="217" spans="1:13" x14ac:dyDescent="0.25">
      <c r="A217" s="3" t="str">
        <f>+EDITABLE!A235</f>
        <v>CAJELABORATO</v>
      </c>
      <c r="B217" s="6">
        <f>+EDITABLE!B235</f>
        <v>1</v>
      </c>
      <c r="C217" s="3" t="str">
        <f>+EDITABLE!C235</f>
        <v>CAJETIN DE RED-1</v>
      </c>
      <c r="D217" s="3" t="str">
        <f>+EDITABLE!D235</f>
        <v>BLANCO</v>
      </c>
      <c r="E217" s="3" t="str">
        <f>+EDITABLE!E235</f>
        <v>S/M</v>
      </c>
      <c r="F217" s="3" t="str">
        <f>+EDITABLE!F235</f>
        <v>S/M</v>
      </c>
      <c r="G217" s="5" t="str">
        <f>+EDITABLE!G235</f>
        <v>S/M</v>
      </c>
      <c r="H217" s="3" t="str">
        <f>+EDITABLE!H235</f>
        <v>LABORATORIO COMPUTACIÓN</v>
      </c>
      <c r="I217" s="3" t="str">
        <f>+EDITABLE!I235</f>
        <v>BUENO</v>
      </c>
      <c r="J217" s="3" t="str">
        <f>+EDITABLE!J235</f>
        <v>DOS TOMAS PARA RJ45</v>
      </c>
      <c r="K217" s="2">
        <f>+EDITABLE!K235</f>
        <v>5</v>
      </c>
      <c r="L217" s="24">
        <f>+EDITABLE!L235</f>
        <v>45288</v>
      </c>
      <c r="M217">
        <v>19</v>
      </c>
    </row>
    <row r="218" spans="1:13" x14ac:dyDescent="0.25">
      <c r="A218" s="3" t="str">
        <f>+EDITABLE!A236</f>
        <v>CAJELABORATO</v>
      </c>
      <c r="B218" s="6">
        <f>+EDITABLE!B236</f>
        <v>1</v>
      </c>
      <c r="C218" s="3" t="str">
        <f>+EDITABLE!C236</f>
        <v>CAJETIN DE RED-2</v>
      </c>
      <c r="D218" s="3" t="str">
        <f>+EDITABLE!D236</f>
        <v>BLANCO</v>
      </c>
      <c r="E218" s="3" t="str">
        <f>+EDITABLE!E236</f>
        <v>S/M</v>
      </c>
      <c r="F218" s="3" t="str">
        <f>+EDITABLE!F236</f>
        <v>S/M</v>
      </c>
      <c r="G218" s="5" t="str">
        <f>+EDITABLE!G236</f>
        <v>S/M</v>
      </c>
      <c r="H218" s="3" t="str">
        <f>+EDITABLE!H236</f>
        <v>LABORATORIO COMPUTACIÓN</v>
      </c>
      <c r="I218" s="3" t="str">
        <f>+EDITABLE!I236</f>
        <v>BUENO</v>
      </c>
      <c r="J218" s="3" t="str">
        <f>+EDITABLE!J236</f>
        <v>DOS TOMAS PARA RJ46</v>
      </c>
      <c r="K218" s="2">
        <f>+EDITABLE!K236</f>
        <v>5</v>
      </c>
      <c r="L218" s="24">
        <f>+EDITABLE!L236</f>
        <v>45288</v>
      </c>
    </row>
    <row r="219" spans="1:13" x14ac:dyDescent="0.25">
      <c r="A219" s="3" t="str">
        <f>+EDITABLE!A237</f>
        <v>CAJELABORATO</v>
      </c>
      <c r="B219" s="6">
        <f>+EDITABLE!B237</f>
        <v>1</v>
      </c>
      <c r="C219" s="3" t="str">
        <f>+EDITABLE!C237</f>
        <v>CAJETIN DE RED-3</v>
      </c>
      <c r="D219" s="3" t="str">
        <f>+EDITABLE!D237</f>
        <v>BLANCO</v>
      </c>
      <c r="E219" s="3" t="str">
        <f>+EDITABLE!E237</f>
        <v>S/M</v>
      </c>
      <c r="F219" s="3" t="str">
        <f>+EDITABLE!F237</f>
        <v>S/M</v>
      </c>
      <c r="G219" s="5" t="str">
        <f>+EDITABLE!G237</f>
        <v>S/M</v>
      </c>
      <c r="H219" s="3" t="str">
        <f>+EDITABLE!H237</f>
        <v>LABORATORIO COMPUTACIÓN</v>
      </c>
      <c r="I219" s="3" t="str">
        <f>+EDITABLE!I237</f>
        <v>BUENO</v>
      </c>
      <c r="J219" s="3" t="str">
        <f>+EDITABLE!J237</f>
        <v>DOS TOMAS PARA RJ47</v>
      </c>
      <c r="K219" s="2">
        <f>+EDITABLE!K237</f>
        <v>5</v>
      </c>
      <c r="L219" s="24">
        <f>+EDITABLE!L237</f>
        <v>45288</v>
      </c>
    </row>
    <row r="220" spans="1:13" x14ac:dyDescent="0.25">
      <c r="A220" s="3" t="str">
        <f>+EDITABLE!A238</f>
        <v>CAJELABORATO</v>
      </c>
      <c r="B220" s="6">
        <f>+EDITABLE!B238</f>
        <v>1</v>
      </c>
      <c r="C220" s="3" t="str">
        <f>+EDITABLE!C238</f>
        <v>CAJETIN DE RED-4</v>
      </c>
      <c r="D220" s="3" t="str">
        <f>+EDITABLE!D238</f>
        <v>BLANCO</v>
      </c>
      <c r="E220" s="3" t="str">
        <f>+EDITABLE!E238</f>
        <v>S/M</v>
      </c>
      <c r="F220" s="3" t="str">
        <f>+EDITABLE!F238</f>
        <v>S/M</v>
      </c>
      <c r="G220" s="5" t="str">
        <f>+EDITABLE!G238</f>
        <v>S/M</v>
      </c>
      <c r="H220" s="3" t="str">
        <f>+EDITABLE!H238</f>
        <v>LABORATORIO COMPUTACIÓN</v>
      </c>
      <c r="I220" s="3" t="str">
        <f>+EDITABLE!I238</f>
        <v>BUENO</v>
      </c>
      <c r="J220" s="3" t="str">
        <f>+EDITABLE!J238</f>
        <v>DOS TOMAS PARA RJ48</v>
      </c>
      <c r="K220" s="2">
        <f>+EDITABLE!K238</f>
        <v>5</v>
      </c>
      <c r="L220" s="24">
        <f>+EDITABLE!L238</f>
        <v>45288</v>
      </c>
    </row>
    <row r="221" spans="1:13" x14ac:dyDescent="0.25">
      <c r="A221" s="3" t="str">
        <f>+EDITABLE!A239</f>
        <v>CAJELABORATO</v>
      </c>
      <c r="B221" s="6">
        <f>+EDITABLE!B239</f>
        <v>1</v>
      </c>
      <c r="C221" s="3" t="str">
        <f>+EDITABLE!C239</f>
        <v>CAJETIN DE RED-5</v>
      </c>
      <c r="D221" s="3" t="str">
        <f>+EDITABLE!D239</f>
        <v>BLANCO</v>
      </c>
      <c r="E221" s="3" t="str">
        <f>+EDITABLE!E239</f>
        <v>S/M</v>
      </c>
      <c r="F221" s="3" t="str">
        <f>+EDITABLE!F239</f>
        <v>S/M</v>
      </c>
      <c r="G221" s="5" t="str">
        <f>+EDITABLE!G239</f>
        <v>S/M</v>
      </c>
      <c r="H221" s="3" t="str">
        <f>+EDITABLE!H239</f>
        <v>LABORATORIO COMPUTACIÓN</v>
      </c>
      <c r="I221" s="3" t="str">
        <f>+EDITABLE!I239</f>
        <v>BUENO</v>
      </c>
      <c r="J221" s="3" t="str">
        <f>+EDITABLE!J239</f>
        <v>DOS TOMAS PARA RJ49</v>
      </c>
      <c r="K221" s="2">
        <f>+EDITABLE!K239</f>
        <v>5</v>
      </c>
      <c r="L221" s="24">
        <f>+EDITABLE!L239</f>
        <v>45288</v>
      </c>
    </row>
    <row r="222" spans="1:13" x14ac:dyDescent="0.25">
      <c r="A222" s="3" t="str">
        <f>+EDITABLE!A240</f>
        <v>CAJELABORATO</v>
      </c>
      <c r="B222" s="6">
        <f>+EDITABLE!B240</f>
        <v>1</v>
      </c>
      <c r="C222" s="3" t="str">
        <f>+EDITABLE!C240</f>
        <v>CAJETIN DE RED-6</v>
      </c>
      <c r="D222" s="3" t="str">
        <f>+EDITABLE!D240</f>
        <v>BLANCO</v>
      </c>
      <c r="E222" s="3" t="str">
        <f>+EDITABLE!E240</f>
        <v>S/M</v>
      </c>
      <c r="F222" s="3" t="str">
        <f>+EDITABLE!F240</f>
        <v>S/M</v>
      </c>
      <c r="G222" s="5" t="str">
        <f>+EDITABLE!G240</f>
        <v>S/M</v>
      </c>
      <c r="H222" s="3" t="str">
        <f>+EDITABLE!H240</f>
        <v>LABORATORIO COMPUTACIÓN</v>
      </c>
      <c r="I222" s="3" t="str">
        <f>+EDITABLE!I240</f>
        <v>BUENO</v>
      </c>
      <c r="J222" s="3" t="str">
        <f>+EDITABLE!J240</f>
        <v>DOS TOMAS PARA RJ50</v>
      </c>
      <c r="K222" s="2">
        <f>+EDITABLE!K240</f>
        <v>5</v>
      </c>
      <c r="L222" s="24">
        <f>+EDITABLE!L240</f>
        <v>45288</v>
      </c>
    </row>
    <row r="223" spans="1:13" x14ac:dyDescent="0.25">
      <c r="A223" s="3" t="str">
        <f>+EDITABLE!A241</f>
        <v>CAJELABORATO</v>
      </c>
      <c r="B223" s="6">
        <f>+EDITABLE!B241</f>
        <v>1</v>
      </c>
      <c r="C223" s="3" t="str">
        <f>+EDITABLE!C241</f>
        <v>CAJETIN DE RED-7</v>
      </c>
      <c r="D223" s="3" t="str">
        <f>+EDITABLE!D241</f>
        <v>BLANCO</v>
      </c>
      <c r="E223" s="3" t="str">
        <f>+EDITABLE!E241</f>
        <v>S/M</v>
      </c>
      <c r="F223" s="3" t="str">
        <f>+EDITABLE!F241</f>
        <v>S/M</v>
      </c>
      <c r="G223" s="5" t="str">
        <f>+EDITABLE!G241</f>
        <v>S/M</v>
      </c>
      <c r="H223" s="3" t="str">
        <f>+EDITABLE!H241</f>
        <v>LABORATORIO COMPUTACIÓN</v>
      </c>
      <c r="I223" s="3" t="str">
        <f>+EDITABLE!I241</f>
        <v>BUENO</v>
      </c>
      <c r="J223" s="3" t="str">
        <f>+EDITABLE!J241</f>
        <v>DOS TOMAS PARA RJ51</v>
      </c>
      <c r="K223" s="2">
        <f>+EDITABLE!K241</f>
        <v>5</v>
      </c>
      <c r="L223" s="24">
        <f>+EDITABLE!L241</f>
        <v>45288</v>
      </c>
    </row>
    <row r="224" spans="1:13" x14ac:dyDescent="0.25">
      <c r="A224" s="3" t="str">
        <f>+EDITABLE!A242</f>
        <v>CAJELABORATO</v>
      </c>
      <c r="B224" s="6">
        <f>+EDITABLE!B242</f>
        <v>1</v>
      </c>
      <c r="C224" s="3" t="str">
        <f>+EDITABLE!C242</f>
        <v>CAJETIN DE RED-8</v>
      </c>
      <c r="D224" s="3" t="str">
        <f>+EDITABLE!D242</f>
        <v>BLANCO</v>
      </c>
      <c r="E224" s="3" t="str">
        <f>+EDITABLE!E242</f>
        <v>S/M</v>
      </c>
      <c r="F224" s="3" t="str">
        <f>+EDITABLE!F242</f>
        <v>S/M</v>
      </c>
      <c r="G224" s="5" t="str">
        <f>+EDITABLE!G242</f>
        <v>S/M</v>
      </c>
      <c r="H224" s="3" t="str">
        <f>+EDITABLE!H242</f>
        <v>LABORATORIO COMPUTACIÓN</v>
      </c>
      <c r="I224" s="3" t="str">
        <f>+EDITABLE!I242</f>
        <v>BUENO</v>
      </c>
      <c r="J224" s="3" t="str">
        <f>+EDITABLE!J242</f>
        <v>DOS TOMAS PARA RJ52</v>
      </c>
      <c r="K224" s="2">
        <f>+EDITABLE!K242</f>
        <v>5</v>
      </c>
      <c r="L224" s="24">
        <f>+EDITABLE!L242</f>
        <v>45288</v>
      </c>
    </row>
    <row r="225" spans="1:12" x14ac:dyDescent="0.25">
      <c r="A225" s="3" t="str">
        <f>+EDITABLE!A243</f>
        <v>CAJELABORATO</v>
      </c>
      <c r="B225" s="6">
        <f>+EDITABLE!B243</f>
        <v>1</v>
      </c>
      <c r="C225" s="3" t="str">
        <f>+EDITABLE!C243</f>
        <v>CAJETIN DE RED-9</v>
      </c>
      <c r="D225" s="3" t="str">
        <f>+EDITABLE!D243</f>
        <v>BLANCO</v>
      </c>
      <c r="E225" s="3" t="str">
        <f>+EDITABLE!E243</f>
        <v>S/M</v>
      </c>
      <c r="F225" s="3" t="str">
        <f>+EDITABLE!F243</f>
        <v>S/M</v>
      </c>
      <c r="G225" s="5" t="str">
        <f>+EDITABLE!G243</f>
        <v>S/M</v>
      </c>
      <c r="H225" s="3" t="str">
        <f>+EDITABLE!H243</f>
        <v>LABORATORIO COMPUTACIÓN</v>
      </c>
      <c r="I225" s="3" t="str">
        <f>+EDITABLE!I243</f>
        <v>BUENO</v>
      </c>
      <c r="J225" s="3" t="str">
        <f>+EDITABLE!J243</f>
        <v>DOS TOMAS PARA RJ53</v>
      </c>
      <c r="K225" s="2">
        <f>+EDITABLE!K243</f>
        <v>5</v>
      </c>
      <c r="L225" s="24">
        <f>+EDITABLE!L243</f>
        <v>45288</v>
      </c>
    </row>
    <row r="226" spans="1:12" x14ac:dyDescent="0.25">
      <c r="A226" s="3" t="str">
        <f>+EDITABLE!A244</f>
        <v>CAJELABORATO</v>
      </c>
      <c r="B226" s="6">
        <f>+EDITABLE!B244</f>
        <v>1</v>
      </c>
      <c r="C226" s="3" t="str">
        <f>+EDITABLE!C244</f>
        <v>CAJETIN DE RED-10</v>
      </c>
      <c r="D226" s="3" t="str">
        <f>+EDITABLE!D244</f>
        <v>BLANCO</v>
      </c>
      <c r="E226" s="3" t="str">
        <f>+EDITABLE!E244</f>
        <v>S/M</v>
      </c>
      <c r="F226" s="3" t="str">
        <f>+EDITABLE!F244</f>
        <v>S/M</v>
      </c>
      <c r="G226" s="5" t="str">
        <f>+EDITABLE!G244</f>
        <v>S/M</v>
      </c>
      <c r="H226" s="3" t="str">
        <f>+EDITABLE!H244</f>
        <v>LABORATORIO COMPUTACIÓN</v>
      </c>
      <c r="I226" s="3" t="str">
        <f>+EDITABLE!I244</f>
        <v>BUENO</v>
      </c>
      <c r="J226" s="3" t="str">
        <f>+EDITABLE!J244</f>
        <v>DOS TOMAS PARA RJ54</v>
      </c>
      <c r="K226" s="2">
        <f>+EDITABLE!K244</f>
        <v>5</v>
      </c>
      <c r="L226" s="24">
        <f>+EDITABLE!L244</f>
        <v>45288</v>
      </c>
    </row>
    <row r="227" spans="1:12" x14ac:dyDescent="0.25">
      <c r="A227" s="3" t="str">
        <f>+EDITABLE!A245</f>
        <v>CPULABORATO</v>
      </c>
      <c r="B227" s="6">
        <f>+EDITABLE!B245</f>
        <v>1</v>
      </c>
      <c r="C227" s="3" t="str">
        <f>+EDITABLE!C245</f>
        <v>CPU</v>
      </c>
      <c r="D227" s="3" t="str">
        <f>+EDITABLE!D245</f>
        <v>NEGRO VINO</v>
      </c>
      <c r="E227" s="3" t="str">
        <f>+EDITABLE!E245</f>
        <v>ALTEK</v>
      </c>
      <c r="F227" s="3" t="str">
        <f>+EDITABLE!F245</f>
        <v>GENERICO</v>
      </c>
      <c r="G227" s="5" t="str">
        <f>+EDITABLE!G245</f>
        <v>S/S</v>
      </c>
      <c r="H227" s="3" t="str">
        <f>+EDITABLE!H245</f>
        <v>LABORATORIO COMPUTACIÓN</v>
      </c>
      <c r="I227" s="3" t="str">
        <f>+EDITABLE!I245</f>
        <v>BUENO</v>
      </c>
      <c r="J227" s="3" t="str">
        <f>+EDITABLE!J245</f>
        <v>WINDOWS 8.1 ENTERPRISE, PROCESADOR: INTEL ® R CORE TM i7-3770 CPU, 3.40 GHZ, RAM 4 GB, 64 BITS, INTERNET ALÁMBRICO</v>
      </c>
      <c r="K227" s="2">
        <f>+EDITABLE!K245</f>
        <v>250</v>
      </c>
      <c r="L227" s="24">
        <f>+EDITABLE!L245</f>
        <v>45288</v>
      </c>
    </row>
    <row r="228" spans="1:12" x14ac:dyDescent="0.25">
      <c r="A228" s="3" t="str">
        <f>+EDITABLE!A246</f>
        <v>MONILABORATO</v>
      </c>
      <c r="B228" s="6">
        <f>+EDITABLE!B246</f>
        <v>1</v>
      </c>
      <c r="C228" s="3" t="str">
        <f>+EDITABLE!C246</f>
        <v>MONITOR</v>
      </c>
      <c r="D228" s="3" t="str">
        <f>+EDITABLE!D246</f>
        <v>NEGRO</v>
      </c>
      <c r="E228" s="3" t="str">
        <f>+EDITABLE!E246</f>
        <v>QUASAD</v>
      </c>
      <c r="F228" s="3" t="str">
        <f>+EDITABLE!F246</f>
        <v>QM-B20</v>
      </c>
      <c r="G228" s="5" t="str">
        <f>+EDITABLE!G246</f>
        <v>CA31987071652</v>
      </c>
      <c r="H228" s="3" t="str">
        <f>+EDITABLE!H246</f>
        <v>LABORATORIO COMPUTACIÓN</v>
      </c>
      <c r="I228" s="3" t="str">
        <f>+EDITABLE!I246</f>
        <v>BUENO</v>
      </c>
      <c r="J228" s="3" t="str">
        <f>+EDITABLE!J246</f>
        <v>DE 19", CONECCIÓN VGA CON CLABELDE ENERGIA Y DATOS</v>
      </c>
      <c r="K228" s="2">
        <f>+EDITABLE!K246</f>
        <v>60</v>
      </c>
      <c r="L228" s="24">
        <f>+EDITABLE!L246</f>
        <v>45288</v>
      </c>
    </row>
    <row r="229" spans="1:12" x14ac:dyDescent="0.25">
      <c r="A229" s="3" t="str">
        <f>+EDITABLE!A247</f>
        <v>TECLLABORATO</v>
      </c>
      <c r="B229" s="6">
        <f>+EDITABLE!B247</f>
        <v>1</v>
      </c>
      <c r="C229" s="3" t="str">
        <f>+EDITABLE!C247</f>
        <v>TECLADO</v>
      </c>
      <c r="D229" s="3" t="str">
        <f>+EDITABLE!D247</f>
        <v>NEGRO</v>
      </c>
      <c r="E229" s="3" t="str">
        <f>+EDITABLE!E247</f>
        <v>GENIUS</v>
      </c>
      <c r="F229" s="3" t="str">
        <f>+EDITABLE!F247</f>
        <v>KB-117</v>
      </c>
      <c r="G229" s="5" t="str">
        <f>+EDITABLE!G247</f>
        <v>31H96036700848</v>
      </c>
      <c r="H229" s="3" t="str">
        <f>+EDITABLE!H247</f>
        <v>LABORATORIO COMPUTACIÓN</v>
      </c>
      <c r="I229" s="3" t="str">
        <f>+EDITABLE!I247</f>
        <v>BUENO</v>
      </c>
      <c r="J229" s="3" t="str">
        <f>+EDITABLE!J247</f>
        <v>ALAMBRICO, CONECTOR USB, COMPATIBLE PARA JUEGOS, TECLADO NUMÉRICO.</v>
      </c>
      <c r="K229" s="2">
        <f>+EDITABLE!K247</f>
        <v>10</v>
      </c>
      <c r="L229" s="24">
        <f>+EDITABLE!L247</f>
        <v>45288</v>
      </c>
    </row>
    <row r="230" spans="1:12" x14ac:dyDescent="0.25">
      <c r="A230" s="3" t="str">
        <f>+EDITABLE!A248</f>
        <v>MOUSLABORATO</v>
      </c>
      <c r="B230" s="6">
        <f>+EDITABLE!B248</f>
        <v>1</v>
      </c>
      <c r="C230" s="3" t="str">
        <f>+EDITABLE!C248</f>
        <v>MOUSE</v>
      </c>
      <c r="D230" s="3" t="str">
        <f>+EDITABLE!D248</f>
        <v>NEGRO ROJO</v>
      </c>
      <c r="E230" s="3" t="str">
        <f>+EDITABLE!E248</f>
        <v>GENIUS</v>
      </c>
      <c r="F230" s="3" t="str">
        <f>+EDITABLE!F248</f>
        <v>DX-110</v>
      </c>
      <c r="G230" s="5" t="str">
        <f>+EDITABLE!G248</f>
        <v>X2L96540201336</v>
      </c>
      <c r="H230" s="3" t="str">
        <f>+EDITABLE!H248</f>
        <v>LABORATORIO COMPUTACIÓN</v>
      </c>
      <c r="I230" s="3" t="str">
        <f>+EDITABLE!I248</f>
        <v>BUENO</v>
      </c>
      <c r="J230" s="3" t="str">
        <f>+EDITABLE!J248</f>
        <v>ALAMBRICO, LED, DISEÑO ERGONÓMICO</v>
      </c>
      <c r="K230" s="2">
        <f>+EDITABLE!K248</f>
        <v>6</v>
      </c>
      <c r="L230" s="24">
        <f>+EDITABLE!L248</f>
        <v>45288</v>
      </c>
    </row>
    <row r="231" spans="1:12" x14ac:dyDescent="0.25">
      <c r="A231" s="3" t="str">
        <f>+EDITABLE!A249</f>
        <v>CPU-LABORATO</v>
      </c>
      <c r="B231" s="6">
        <f>+EDITABLE!B249</f>
        <v>1</v>
      </c>
      <c r="C231" s="3" t="str">
        <f>+EDITABLE!C249</f>
        <v>CPU-1</v>
      </c>
      <c r="D231" s="3" t="str">
        <f>+EDITABLE!D249</f>
        <v>NEGRO</v>
      </c>
      <c r="E231" s="3" t="str">
        <f>+EDITABLE!E249</f>
        <v>SION</v>
      </c>
      <c r="F231" s="3" t="str">
        <f>+EDITABLE!F249</f>
        <v>PCSIONCOREI5</v>
      </c>
      <c r="G231" s="5">
        <f>+EDITABLE!G249</f>
        <v>81830</v>
      </c>
      <c r="H231" s="3" t="str">
        <f>+EDITABLE!H249</f>
        <v>LABORATORIO COMPUTACIÓN</v>
      </c>
      <c r="I231" s="3" t="str">
        <f>+EDITABLE!I249</f>
        <v>BUENO</v>
      </c>
      <c r="J231" s="3" t="str">
        <f>+EDITABLE!J249</f>
        <v>WINDOWS 8.1 ENTERPRISE, PROCESADOR: INTEL ® R CORE TM i5-3330 CPU, 3.00 GHZ, RAM 4 GB, 64 BITS, INTERNET ALÁMBRICO</v>
      </c>
      <c r="K231" s="2">
        <f>+EDITABLE!K249</f>
        <v>250</v>
      </c>
      <c r="L231" s="24">
        <f>+EDITABLE!L249</f>
        <v>45288</v>
      </c>
    </row>
    <row r="232" spans="1:12" x14ac:dyDescent="0.25">
      <c r="A232" s="3" t="str">
        <f>+EDITABLE!A250</f>
        <v>MONILABORATO</v>
      </c>
      <c r="B232" s="6">
        <f>+EDITABLE!B250</f>
        <v>1</v>
      </c>
      <c r="C232" s="3" t="str">
        <f>+EDITABLE!C250</f>
        <v>MONITOR-1</v>
      </c>
      <c r="D232" s="3" t="str">
        <f>+EDITABLE!D250</f>
        <v>NEGRO</v>
      </c>
      <c r="E232" s="3" t="str">
        <f>+EDITABLE!E250</f>
        <v>SAMSUNG</v>
      </c>
      <c r="F232" s="3" t="str">
        <f>+EDITABLE!F250</f>
        <v>S19A10N</v>
      </c>
      <c r="G232" s="5" t="str">
        <f>+EDITABLE!G250</f>
        <v>ZT14H4LC40274TY</v>
      </c>
      <c r="H232" s="3" t="str">
        <f>+EDITABLE!H250</f>
        <v>LABORATORIO COMPUTACIÓN</v>
      </c>
      <c r="I232" s="3" t="str">
        <f>+EDITABLE!I250</f>
        <v>BUENO</v>
      </c>
      <c r="J232" s="3" t="str">
        <f>+EDITABLE!J250</f>
        <v>DE 19", CONECCIÓN VGA CON CLABELDE ENERGIA Y DATOS</v>
      </c>
      <c r="K232" s="2">
        <f>+EDITABLE!K250</f>
        <v>60</v>
      </c>
      <c r="L232" s="24">
        <f>+EDITABLE!L250</f>
        <v>45288</v>
      </c>
    </row>
    <row r="233" spans="1:12" x14ac:dyDescent="0.25">
      <c r="A233" s="3" t="str">
        <f>+EDITABLE!A251</f>
        <v>TECLLABORATO</v>
      </c>
      <c r="B233" s="6">
        <f>+EDITABLE!B251</f>
        <v>1</v>
      </c>
      <c r="C233" s="3" t="str">
        <f>+EDITABLE!C251</f>
        <v>TECLADO-1</v>
      </c>
      <c r="D233" s="3" t="str">
        <f>+EDITABLE!D251</f>
        <v>NEGRO</v>
      </c>
      <c r="E233" s="3" t="str">
        <f>+EDITABLE!E251</f>
        <v>GENIUS</v>
      </c>
      <c r="F233" s="3" t="str">
        <f>+EDITABLE!F251</f>
        <v>GK-070008/U</v>
      </c>
      <c r="G233" s="5" t="str">
        <f>+EDITABLE!G251</f>
        <v>ZCE8V5301760</v>
      </c>
      <c r="H233" s="3" t="str">
        <f>+EDITABLE!H251</f>
        <v>LABORATORIO COMPUTACIÓN</v>
      </c>
      <c r="I233" s="3" t="str">
        <f>+EDITABLE!I251</f>
        <v>BUENO</v>
      </c>
      <c r="J233" s="3" t="str">
        <f>+EDITABLE!J251</f>
        <v>ALAMBRICO, CONECTOR USB, COMPATIBLE PARA JUEGOS, TECLADO NUMÉRICO.</v>
      </c>
      <c r="K233" s="2">
        <f>+EDITABLE!K251</f>
        <v>10</v>
      </c>
      <c r="L233" s="24">
        <f>+EDITABLE!L251</f>
        <v>45288</v>
      </c>
    </row>
    <row r="234" spans="1:12" x14ac:dyDescent="0.25">
      <c r="A234" s="3" t="str">
        <f>+EDITABLE!A252</f>
        <v>MOUSLABORATO</v>
      </c>
      <c r="B234" s="6">
        <f>+EDITABLE!B252</f>
        <v>1</v>
      </c>
      <c r="C234" s="3" t="str">
        <f>+EDITABLE!C252</f>
        <v>MOUSE-1</v>
      </c>
      <c r="D234" s="3" t="str">
        <f>+EDITABLE!D252</f>
        <v>NEGRO/GRIS</v>
      </c>
      <c r="E234" s="3" t="str">
        <f>+EDITABLE!E252</f>
        <v>DELUX</v>
      </c>
      <c r="F234" s="3" t="str">
        <f>+EDITABLE!F252</f>
        <v>M312</v>
      </c>
      <c r="G234" s="5" t="str">
        <f>+EDITABLE!G252</f>
        <v>M3121110063487</v>
      </c>
      <c r="H234" s="3" t="str">
        <f>+EDITABLE!H252</f>
        <v>LABORATORIO COMPUTACIÓN</v>
      </c>
      <c r="I234" s="3" t="str">
        <f>+EDITABLE!I252</f>
        <v>BUENO</v>
      </c>
      <c r="J234" s="3" t="str">
        <f>+EDITABLE!J252</f>
        <v>ALAMBRICO Y LUZ LED, USB</v>
      </c>
      <c r="K234" s="2">
        <f>+EDITABLE!K252</f>
        <v>5</v>
      </c>
      <c r="L234" s="24">
        <f>+EDITABLE!L252</f>
        <v>45288</v>
      </c>
    </row>
    <row r="235" spans="1:12" x14ac:dyDescent="0.25">
      <c r="A235" s="3" t="str">
        <f>+EDITABLE!A253</f>
        <v>CPU-LABORATO</v>
      </c>
      <c r="B235" s="6">
        <f>+EDITABLE!B253</f>
        <v>1</v>
      </c>
      <c r="C235" s="3" t="str">
        <f>+EDITABLE!C253</f>
        <v>CPU-2</v>
      </c>
      <c r="D235" s="3" t="str">
        <f>+EDITABLE!D253</f>
        <v>NEGRO</v>
      </c>
      <c r="E235" s="3" t="str">
        <f>+EDITABLE!E253</f>
        <v>DELUX</v>
      </c>
      <c r="F235" s="3" t="str">
        <f>+EDITABLE!F253</f>
        <v>GENERICO</v>
      </c>
      <c r="G235" s="5" t="str">
        <f>+EDITABLE!G253</f>
        <v>S/S</v>
      </c>
      <c r="H235" s="3" t="str">
        <f>+EDITABLE!H253</f>
        <v>LABORATORIO COMPUTACIÓN</v>
      </c>
      <c r="I235" s="3" t="str">
        <f>+EDITABLE!I253</f>
        <v>BUENO</v>
      </c>
      <c r="J235" s="3" t="str">
        <f>+EDITABLE!J253</f>
        <v>WINDOWS 8.1 ENTERPRISE, PROCESADOR: INTEL ® R CORE TM i5-2310 CPU, 2.90.00 GHZ, RAM 4 GB, 64 BITS, INTERNET ALÁMBRICO</v>
      </c>
      <c r="K235" s="2">
        <f>+EDITABLE!K253</f>
        <v>250</v>
      </c>
      <c r="L235" s="24">
        <f>+EDITABLE!L253</f>
        <v>45288</v>
      </c>
    </row>
    <row r="236" spans="1:12" x14ac:dyDescent="0.25">
      <c r="A236" s="3" t="str">
        <f>+EDITABLE!A254</f>
        <v>MONILABORATO</v>
      </c>
      <c r="B236" s="6">
        <f>+EDITABLE!B254</f>
        <v>1</v>
      </c>
      <c r="C236" s="3" t="str">
        <f>+EDITABLE!C254</f>
        <v>MONITOR-2</v>
      </c>
      <c r="D236" s="3" t="str">
        <f>+EDITABLE!D254</f>
        <v>NEGRO</v>
      </c>
      <c r="E236" s="3" t="str">
        <f>+EDITABLE!E254</f>
        <v>SAMSUNG</v>
      </c>
      <c r="F236" s="3" t="str">
        <f>+EDITABLE!F254</f>
        <v>S19A10N</v>
      </c>
      <c r="G236" s="5" t="str">
        <f>+EDITABLE!G254</f>
        <v>ZT14H4LC401233K</v>
      </c>
      <c r="H236" s="3" t="str">
        <f>+EDITABLE!H254</f>
        <v>LABORATORIO COMPUTACIÓN</v>
      </c>
      <c r="I236" s="3" t="str">
        <f>+EDITABLE!I254</f>
        <v>BUENO</v>
      </c>
      <c r="J236" s="3" t="str">
        <f>+EDITABLE!J254</f>
        <v>DE 19", CONECCIÓN VGA CON CLABELDE ENERGIA Y DATOS</v>
      </c>
      <c r="K236" s="2">
        <f>+EDITABLE!K254</f>
        <v>60</v>
      </c>
      <c r="L236" s="24">
        <f>+EDITABLE!L254</f>
        <v>45288</v>
      </c>
    </row>
    <row r="237" spans="1:12" x14ac:dyDescent="0.25">
      <c r="A237" s="3" t="str">
        <f>+EDITABLE!A255</f>
        <v>TECLLABORATO</v>
      </c>
      <c r="B237" s="6">
        <f>+EDITABLE!B255</f>
        <v>1</v>
      </c>
      <c r="C237" s="3" t="str">
        <f>+EDITABLE!C255</f>
        <v>TECLADO-2</v>
      </c>
      <c r="D237" s="3" t="str">
        <f>+EDITABLE!D255</f>
        <v>NEGRO</v>
      </c>
      <c r="E237" s="3" t="str">
        <f>+EDITABLE!E255</f>
        <v>DELUX</v>
      </c>
      <c r="F237" s="3" t="str">
        <f>+EDITABLE!F255</f>
        <v>K5015</v>
      </c>
      <c r="G237" s="5" t="str">
        <f>+EDITABLE!G255</f>
        <v>K50151110000482</v>
      </c>
      <c r="H237" s="3" t="str">
        <f>+EDITABLE!H255</f>
        <v>LABORATORIO COMPUTACIÓN</v>
      </c>
      <c r="I237" s="3" t="str">
        <f>+EDITABLE!I255</f>
        <v>BUENO</v>
      </c>
      <c r="J237" s="3" t="str">
        <f>+EDITABLE!J255</f>
        <v>ALAMBRICO, HERGONÓMICO, VARIOS USOS, CONECTOR USB</v>
      </c>
      <c r="K237" s="2">
        <f>+EDITABLE!K255</f>
        <v>17</v>
      </c>
      <c r="L237" s="24">
        <f>+EDITABLE!L255</f>
        <v>45288</v>
      </c>
    </row>
    <row r="238" spans="1:12" x14ac:dyDescent="0.25">
      <c r="A238" s="3" t="str">
        <f>+EDITABLE!A256</f>
        <v>MOUSLABORATO</v>
      </c>
      <c r="B238" s="6">
        <f>+EDITABLE!B256</f>
        <v>1</v>
      </c>
      <c r="C238" s="3" t="str">
        <f>+EDITABLE!C256</f>
        <v>MOUSE-2</v>
      </c>
      <c r="D238" s="3" t="str">
        <f>+EDITABLE!D256</f>
        <v>NEGRO/GRIS</v>
      </c>
      <c r="E238" s="3" t="str">
        <f>+EDITABLE!E256</f>
        <v>DELUX</v>
      </c>
      <c r="F238" s="3" t="str">
        <f>+EDITABLE!F256</f>
        <v>M312</v>
      </c>
      <c r="G238" s="5" t="str">
        <f>+EDITABLE!G256</f>
        <v>M3121110063322</v>
      </c>
      <c r="H238" s="3" t="str">
        <f>+EDITABLE!H256</f>
        <v>LABORATORIO COMPUTACIÓN</v>
      </c>
      <c r="I238" s="3" t="str">
        <f>+EDITABLE!I256</f>
        <v>BUENO</v>
      </c>
      <c r="J238" s="3" t="str">
        <f>+EDITABLE!J256</f>
        <v>ALAMBRICO Y LUZ LED, USB</v>
      </c>
      <c r="K238" s="2">
        <f>+EDITABLE!K256</f>
        <v>5</v>
      </c>
      <c r="L238" s="24">
        <f>+EDITABLE!L256</f>
        <v>45288</v>
      </c>
    </row>
    <row r="239" spans="1:12" x14ac:dyDescent="0.25">
      <c r="A239" s="3" t="str">
        <f>+EDITABLE!A257</f>
        <v>CPU-LABORATO</v>
      </c>
      <c r="B239" s="6">
        <f>+EDITABLE!B257</f>
        <v>1</v>
      </c>
      <c r="C239" s="3" t="str">
        <f>+EDITABLE!C257</f>
        <v>CPU-3</v>
      </c>
      <c r="D239" s="3" t="str">
        <f>+EDITABLE!D257</f>
        <v>NEGRO</v>
      </c>
      <c r="E239" s="3" t="str">
        <f>+EDITABLE!E257</f>
        <v>SION</v>
      </c>
      <c r="F239" s="3" t="str">
        <f>+EDITABLE!F257</f>
        <v>PCSIONCOREI5</v>
      </c>
      <c r="G239" s="5">
        <f>+EDITABLE!G257</f>
        <v>81837</v>
      </c>
      <c r="H239" s="3" t="str">
        <f>+EDITABLE!H257</f>
        <v>LABORATORIO COMPUTACIÓN</v>
      </c>
      <c r="I239" s="3" t="str">
        <f>+EDITABLE!I257</f>
        <v>BUENO</v>
      </c>
      <c r="J239" s="3" t="str">
        <f>+EDITABLE!J257</f>
        <v>WINDOWS 8.1 INTERPRISE, PROCESADOR: INTEL ® R CORE TM i5-4460 CPU, 3.20.00 GHZ, RAM 4 GB, 64 BITS, INTERNET ALÁMBRICO</v>
      </c>
      <c r="K239" s="2">
        <f>+EDITABLE!K257</f>
        <v>250</v>
      </c>
      <c r="L239" s="24">
        <f>+EDITABLE!L257</f>
        <v>45288</v>
      </c>
    </row>
    <row r="240" spans="1:12" x14ac:dyDescent="0.25">
      <c r="A240" s="3" t="str">
        <f>+EDITABLE!A258</f>
        <v>MONILABORATO</v>
      </c>
      <c r="B240" s="6">
        <f>+EDITABLE!B258</f>
        <v>1</v>
      </c>
      <c r="C240" s="3" t="str">
        <f>+EDITABLE!C258</f>
        <v>MONITOR-3</v>
      </c>
      <c r="D240" s="3" t="str">
        <f>+EDITABLE!D258</f>
        <v>NEGRO</v>
      </c>
      <c r="E240" s="3" t="str">
        <f>+EDITABLE!E258</f>
        <v>SAMSUNG</v>
      </c>
      <c r="F240" s="3" t="str">
        <f>+EDITABLE!F258</f>
        <v>S19A10N</v>
      </c>
      <c r="G240" s="5" t="str">
        <f>+EDITABLE!G258</f>
        <v>ZT14H4LC401236A</v>
      </c>
      <c r="H240" s="3" t="str">
        <f>+EDITABLE!H258</f>
        <v>LABORATORIO COMPUTACIÓN</v>
      </c>
      <c r="I240" s="3" t="str">
        <f>+EDITABLE!I258</f>
        <v>BUENO</v>
      </c>
      <c r="J240" s="3" t="str">
        <f>+EDITABLE!J258</f>
        <v>DE 19", CONECCIÓN VGA CON CLABELDE ENERGIA Y DATOS</v>
      </c>
      <c r="K240" s="2">
        <f>+EDITABLE!K258</f>
        <v>60</v>
      </c>
      <c r="L240" s="24">
        <f>+EDITABLE!L258</f>
        <v>45288</v>
      </c>
    </row>
    <row r="241" spans="1:12" x14ac:dyDescent="0.25">
      <c r="A241" s="3" t="str">
        <f>+EDITABLE!A259</f>
        <v>TECLLABORATO</v>
      </c>
      <c r="B241" s="6">
        <f>+EDITABLE!B259</f>
        <v>1</v>
      </c>
      <c r="C241" s="3" t="str">
        <f>+EDITABLE!C259</f>
        <v>TECLADO-3</v>
      </c>
      <c r="D241" s="3" t="str">
        <f>+EDITABLE!D259</f>
        <v>GRIS/NEGRO</v>
      </c>
      <c r="E241" s="3" t="str">
        <f>+EDITABLE!E259</f>
        <v>GENIUS</v>
      </c>
      <c r="F241" s="3" t="str">
        <f>+EDITABLE!F259</f>
        <v>KL-0210</v>
      </c>
      <c r="G241" s="5" t="str">
        <f>+EDITABLE!G259</f>
        <v>3912A734</v>
      </c>
      <c r="H241" s="3" t="str">
        <f>+EDITABLE!H259</f>
        <v>LABORATORIO COMPUTACIÓN</v>
      </c>
      <c r="I241" s="3" t="str">
        <f>+EDITABLE!I259</f>
        <v>BUENO</v>
      </c>
      <c r="J241" s="3" t="str">
        <f>+EDITABLE!J259</f>
        <v>ALAMBRICO, CONECTOR USB, COMPATIBLE PARA JUEGOS, TECLADO NUMÉRICO.</v>
      </c>
      <c r="K241" s="2">
        <f>+EDITABLE!K259</f>
        <v>10</v>
      </c>
      <c r="L241" s="24">
        <f>+EDITABLE!L259</f>
        <v>45288</v>
      </c>
    </row>
    <row r="242" spans="1:12" x14ac:dyDescent="0.25">
      <c r="A242" s="3" t="str">
        <f>+EDITABLE!A260</f>
        <v>MOUSLABORATO</v>
      </c>
      <c r="B242" s="6">
        <f>+EDITABLE!B260</f>
        <v>1</v>
      </c>
      <c r="C242" s="3" t="str">
        <f>+EDITABLE!C260</f>
        <v>MOUSE-3</v>
      </c>
      <c r="D242" s="3" t="str">
        <f>+EDITABLE!D260</f>
        <v>NEGRO/GRIS</v>
      </c>
      <c r="E242" s="3" t="str">
        <f>+EDITABLE!E260</f>
        <v>DELUX</v>
      </c>
      <c r="F242" s="3" t="str">
        <f>+EDITABLE!F260</f>
        <v>M312</v>
      </c>
      <c r="G242" s="5" t="str">
        <f>+EDITABLE!G260</f>
        <v>M3121110062614</v>
      </c>
      <c r="H242" s="3" t="str">
        <f>+EDITABLE!H260</f>
        <v>LABORATORIO COMPUTACIÓN</v>
      </c>
      <c r="I242" s="3" t="str">
        <f>+EDITABLE!I260</f>
        <v>BUENO</v>
      </c>
      <c r="J242" s="3" t="str">
        <f>+EDITABLE!J260</f>
        <v>ALAMBRICO Y LUZ LED, USB</v>
      </c>
      <c r="K242" s="2">
        <f>+EDITABLE!K260</f>
        <v>5</v>
      </c>
      <c r="L242" s="24">
        <f>+EDITABLE!L260</f>
        <v>45288</v>
      </c>
    </row>
    <row r="243" spans="1:12" x14ac:dyDescent="0.25">
      <c r="A243" s="3" t="str">
        <f>+EDITABLE!A261</f>
        <v>CPU-LABORATO</v>
      </c>
      <c r="B243" s="6">
        <f>+EDITABLE!B261</f>
        <v>1</v>
      </c>
      <c r="C243" s="3" t="str">
        <f>+EDITABLE!C261</f>
        <v>CPU-4</v>
      </c>
      <c r="D243" s="3" t="str">
        <f>+EDITABLE!D261</f>
        <v>NEGRO</v>
      </c>
      <c r="E243" s="3" t="str">
        <f>+EDITABLE!E261</f>
        <v>DELUX</v>
      </c>
      <c r="F243" s="3" t="str">
        <f>+EDITABLE!F261</f>
        <v>GENERICO</v>
      </c>
      <c r="G243" s="5" t="str">
        <f>+EDITABLE!G261</f>
        <v>S/S</v>
      </c>
      <c r="H243" s="3" t="str">
        <f>+EDITABLE!H261</f>
        <v>LABORATORIO COMPUTACIÓN</v>
      </c>
      <c r="I243" s="3" t="str">
        <f>+EDITABLE!I261</f>
        <v>BUENO</v>
      </c>
      <c r="J243" s="3" t="str">
        <f>+EDITABLE!J261</f>
        <v>WINDOWS 8.1 INTERPRISE, PROCESADOR: INTEL ® R CORE TM i5-2320 CPU, 3.00 GHZ, RAM 4 GB, 64 BITS, INTERNET ALÁMBRICO</v>
      </c>
      <c r="K243" s="2">
        <f>+EDITABLE!K261</f>
        <v>250</v>
      </c>
      <c r="L243" s="24">
        <f>+EDITABLE!L261</f>
        <v>45288</v>
      </c>
    </row>
    <row r="244" spans="1:12" x14ac:dyDescent="0.25">
      <c r="A244" s="3" t="str">
        <f>+EDITABLE!A262</f>
        <v>MONILABORATO</v>
      </c>
      <c r="B244" s="6">
        <f>+EDITABLE!B262</f>
        <v>1</v>
      </c>
      <c r="C244" s="3" t="str">
        <f>+EDITABLE!C262</f>
        <v>MONITOR-4</v>
      </c>
      <c r="D244" s="3" t="str">
        <f>+EDITABLE!D262</f>
        <v>NEGRO</v>
      </c>
      <c r="E244" s="3" t="str">
        <f>+EDITABLE!E262</f>
        <v>SAMNSUNG</v>
      </c>
      <c r="F244" s="3" t="str">
        <f>+EDITABLE!F262</f>
        <v>S19A10N</v>
      </c>
      <c r="G244" s="5" t="str">
        <f>+EDITABLE!G262</f>
        <v>ZT14H4LC401339A</v>
      </c>
      <c r="H244" s="3" t="str">
        <f>+EDITABLE!H262</f>
        <v>LABORATORIO COMPUTACIÓN</v>
      </c>
      <c r="I244" s="3" t="str">
        <f>+EDITABLE!I262</f>
        <v>BUENO</v>
      </c>
      <c r="J244" s="3" t="str">
        <f>+EDITABLE!J262</f>
        <v>DE 19", CONECCIÓN VGA CON CLABELDE ENERGIA Y DATOS</v>
      </c>
      <c r="K244" s="2">
        <f>+EDITABLE!K262</f>
        <v>60</v>
      </c>
      <c r="L244" s="24">
        <f>+EDITABLE!L262</f>
        <v>45288</v>
      </c>
    </row>
    <row r="245" spans="1:12" x14ac:dyDescent="0.25">
      <c r="A245" s="3" t="str">
        <f>+EDITABLE!A263</f>
        <v>TECLLABORATO</v>
      </c>
      <c r="B245" s="6">
        <f>+EDITABLE!B263</f>
        <v>1</v>
      </c>
      <c r="C245" s="3" t="str">
        <f>+EDITABLE!C263</f>
        <v>TECLADO-4</v>
      </c>
      <c r="D245" s="3" t="str">
        <f>+EDITABLE!D263</f>
        <v>NEGRO</v>
      </c>
      <c r="E245" s="3" t="str">
        <f>+EDITABLE!E263</f>
        <v>GENIUS</v>
      </c>
      <c r="F245" s="3" t="str">
        <f>+EDITABLE!F263</f>
        <v>K627</v>
      </c>
      <c r="G245" s="5" t="str">
        <f>+EDITABLE!G263</f>
        <v>ZM5727170016</v>
      </c>
      <c r="H245" s="3" t="str">
        <f>+EDITABLE!H263</f>
        <v>LABORATORIO COMPUTACIÓN</v>
      </c>
      <c r="I245" s="3" t="str">
        <f>+EDITABLE!I263</f>
        <v>BUENO</v>
      </c>
      <c r="J245" s="3" t="str">
        <f>+EDITABLE!J263</f>
        <v>ALAMBRICO, CONECTOR USB, COMPATIBLE PARA JUEGOS, TECLADO NUMÉRICO.</v>
      </c>
      <c r="K245" s="2">
        <f>+EDITABLE!K263</f>
        <v>10</v>
      </c>
      <c r="L245" s="24">
        <f>+EDITABLE!L263</f>
        <v>45288</v>
      </c>
    </row>
    <row r="246" spans="1:12" x14ac:dyDescent="0.25">
      <c r="A246" s="3" t="str">
        <f>+EDITABLE!A264</f>
        <v>MOUSLABORATO</v>
      </c>
      <c r="B246" s="6">
        <f>+EDITABLE!B264</f>
        <v>1</v>
      </c>
      <c r="C246" s="3" t="str">
        <f>+EDITABLE!C264</f>
        <v>MOUSE-4</v>
      </c>
      <c r="D246" s="3" t="str">
        <f>+EDITABLE!D264</f>
        <v>NEGRO/TRANSPARENTE</v>
      </c>
      <c r="E246" s="3" t="str">
        <f>+EDITABLE!E264</f>
        <v>INS</v>
      </c>
      <c r="F246" s="3" t="str">
        <f>+EDITABLE!F264</f>
        <v>S/M</v>
      </c>
      <c r="G246" s="5" t="str">
        <f>+EDITABLE!G264</f>
        <v>S/S</v>
      </c>
      <c r="H246" s="3" t="str">
        <f>+EDITABLE!H264</f>
        <v>LABORATORIO COMPUTACIÓN</v>
      </c>
      <c r="I246" s="3" t="str">
        <f>+EDITABLE!I264</f>
        <v>BUENO</v>
      </c>
      <c r="J246" s="3" t="str">
        <f>+EDITABLE!J264</f>
        <v>ALAMBRICO, LED, OPTICO</v>
      </c>
      <c r="K246" s="2">
        <f>+EDITABLE!K264</f>
        <v>5</v>
      </c>
      <c r="L246" s="24">
        <f>+EDITABLE!L264</f>
        <v>45288</v>
      </c>
    </row>
    <row r="247" spans="1:12" x14ac:dyDescent="0.25">
      <c r="A247" s="3" t="str">
        <f>+EDITABLE!A265</f>
        <v>CPU-LABORATO</v>
      </c>
      <c r="B247" s="6">
        <f>+EDITABLE!B265</f>
        <v>1</v>
      </c>
      <c r="C247" s="3" t="str">
        <f>+EDITABLE!C265</f>
        <v>CPU-5</v>
      </c>
      <c r="D247" s="3" t="str">
        <f>+EDITABLE!D265</f>
        <v>NEGRO</v>
      </c>
      <c r="E247" s="3" t="str">
        <f>+EDITABLE!E265</f>
        <v>DELUX</v>
      </c>
      <c r="F247" s="3" t="str">
        <f>+EDITABLE!F265</f>
        <v>GENERICO</v>
      </c>
      <c r="G247" s="5" t="str">
        <f>+EDITABLE!G265</f>
        <v>S/S</v>
      </c>
      <c r="H247" s="3" t="str">
        <f>+EDITABLE!H265</f>
        <v>LABORATORIO COMPUTACIÓN</v>
      </c>
      <c r="I247" s="3" t="str">
        <f>+EDITABLE!I265</f>
        <v>BUENO</v>
      </c>
      <c r="J247" s="3" t="str">
        <f>+EDITABLE!J265</f>
        <v>WINDOWS 8.1 INTERPRISE, PROCESADOR: INTEL ® R CORE TM i5-2320 CPU, 3.00 GHZ, RAM 4 GB, 64 BITS, INTERNET ALÁMBRICO</v>
      </c>
      <c r="K247" s="2">
        <f>+EDITABLE!K265</f>
        <v>250</v>
      </c>
      <c r="L247" s="24">
        <f>+EDITABLE!L265</f>
        <v>45288</v>
      </c>
    </row>
    <row r="248" spans="1:12" x14ac:dyDescent="0.25">
      <c r="A248" s="3" t="str">
        <f>+EDITABLE!A266</f>
        <v>MONILABORATO</v>
      </c>
      <c r="B248" s="6">
        <f>+EDITABLE!B266</f>
        <v>1</v>
      </c>
      <c r="C248" s="3" t="str">
        <f>+EDITABLE!C266</f>
        <v>MONITOR-5</v>
      </c>
      <c r="D248" s="3" t="str">
        <f>+EDITABLE!D266</f>
        <v>NEGRO</v>
      </c>
      <c r="E248" s="3" t="str">
        <f>+EDITABLE!E266</f>
        <v>SAMSUNG</v>
      </c>
      <c r="F248" s="3" t="str">
        <f>+EDITABLE!F266</f>
        <v>S19A10N</v>
      </c>
      <c r="G248" s="5" t="str">
        <f>+EDITABLE!G266</f>
        <v>ZT14H4LC401242V</v>
      </c>
      <c r="H248" s="3" t="str">
        <f>+EDITABLE!H266</f>
        <v>LABORATORIO COMPUTACIÓN</v>
      </c>
      <c r="I248" s="3" t="str">
        <f>+EDITABLE!I266</f>
        <v>BUENO</v>
      </c>
      <c r="J248" s="3" t="str">
        <f>+EDITABLE!J266</f>
        <v>DE 19", CONECCIÓN VGA CON CLABELDE ENERGIA Y DATOS</v>
      </c>
      <c r="K248" s="2">
        <f>+EDITABLE!K266</f>
        <v>60</v>
      </c>
      <c r="L248" s="24">
        <f>+EDITABLE!L266</f>
        <v>45288</v>
      </c>
    </row>
    <row r="249" spans="1:12" x14ac:dyDescent="0.25">
      <c r="A249" s="3" t="str">
        <f>+EDITABLE!A267</f>
        <v>TECLLABORATO</v>
      </c>
      <c r="B249" s="6">
        <f>+EDITABLE!B267</f>
        <v>1</v>
      </c>
      <c r="C249" s="3" t="str">
        <f>+EDITABLE!C267</f>
        <v>TECLADO-5</v>
      </c>
      <c r="D249" s="3" t="str">
        <f>+EDITABLE!D267</f>
        <v>NEGRO/AZUL</v>
      </c>
      <c r="E249" s="3" t="str">
        <f>+EDITABLE!E267</f>
        <v>ALTEK</v>
      </c>
      <c r="F249" s="3" t="str">
        <f>+EDITABLE!F267</f>
        <v>S/M</v>
      </c>
      <c r="G249" s="5" t="str">
        <f>+EDITABLE!G267</f>
        <v>S/S</v>
      </c>
      <c r="H249" s="3" t="str">
        <f>+EDITABLE!H267</f>
        <v>LABORATORIO COMPUTACIÓN</v>
      </c>
      <c r="I249" s="3" t="str">
        <f>+EDITABLE!I267</f>
        <v>BUENO</v>
      </c>
      <c r="J249" s="3" t="str">
        <f>+EDITABLE!J267</f>
        <v>ALAMBRICO, HERGONÓMICO, VARIOS USOS, CONECTOR USB</v>
      </c>
      <c r="K249" s="2">
        <f>+EDITABLE!K267</f>
        <v>17</v>
      </c>
      <c r="L249" s="24">
        <f>+EDITABLE!L267</f>
        <v>45288</v>
      </c>
    </row>
    <row r="250" spans="1:12" x14ac:dyDescent="0.25">
      <c r="A250" s="3" t="str">
        <f>+EDITABLE!A268</f>
        <v>MOUSLABORATO</v>
      </c>
      <c r="B250" s="6">
        <f>+EDITABLE!B268</f>
        <v>1</v>
      </c>
      <c r="C250" s="3" t="str">
        <f>+EDITABLE!C268</f>
        <v>MOUSE-5</v>
      </c>
      <c r="D250" s="3" t="str">
        <f>+EDITABLE!D268</f>
        <v>NEGRO</v>
      </c>
      <c r="E250" s="3" t="str">
        <f>+EDITABLE!E268</f>
        <v>GENIUS</v>
      </c>
      <c r="F250" s="3" t="str">
        <f>+EDITABLE!F268</f>
        <v>GM-120014</v>
      </c>
      <c r="G250" s="5" t="str">
        <f>+EDITABLE!G268</f>
        <v>X5D90300603163</v>
      </c>
      <c r="H250" s="3" t="str">
        <f>+EDITABLE!H268</f>
        <v>LABORATORIO COMPUTACIÓN</v>
      </c>
      <c r="I250" s="3" t="str">
        <f>+EDITABLE!I268</f>
        <v>BUENO</v>
      </c>
      <c r="J250" s="3" t="str">
        <f>+EDITABLE!J268</f>
        <v>ALAMBRICO, LED, DISEÑO ERGONÓMICO</v>
      </c>
      <c r="K250" s="2">
        <f>+EDITABLE!K268</f>
        <v>6</v>
      </c>
      <c r="L250" s="24">
        <f>+EDITABLE!L268</f>
        <v>45288</v>
      </c>
    </row>
    <row r="251" spans="1:12" x14ac:dyDescent="0.25">
      <c r="A251" s="3" t="str">
        <f>+EDITABLE!A269</f>
        <v>CPU-LABORATO</v>
      </c>
      <c r="B251" s="6">
        <f>+EDITABLE!B269</f>
        <v>1</v>
      </c>
      <c r="C251" s="3" t="str">
        <f>+EDITABLE!C269</f>
        <v>CPU-6</v>
      </c>
      <c r="D251" s="3" t="str">
        <f>+EDITABLE!D269</f>
        <v>NEGRO</v>
      </c>
      <c r="E251" s="3" t="str">
        <f>+EDITABLE!E269</f>
        <v>DELUX</v>
      </c>
      <c r="F251" s="3" t="str">
        <f>+EDITABLE!F269</f>
        <v>GENERICO</v>
      </c>
      <c r="G251" s="5" t="str">
        <f>+EDITABLE!G269</f>
        <v>S/S</v>
      </c>
      <c r="H251" s="3" t="str">
        <f>+EDITABLE!H269</f>
        <v>LABORATORIO COMPUTACIÓN</v>
      </c>
      <c r="I251" s="3" t="str">
        <f>+EDITABLE!I269</f>
        <v>BUENO</v>
      </c>
      <c r="J251" s="3" t="str">
        <f>+EDITABLE!J269</f>
        <v>WINDOWS 8.1 INTERPRISE, PROCESADOR: INTEL ® R CORE TM i5-2310 CPU, 2.90 GHZ, RAM 4 GB, 64 BITS, INTERNET ALÁMBRICO</v>
      </c>
      <c r="K251" s="2">
        <f>+EDITABLE!K269</f>
        <v>250</v>
      </c>
      <c r="L251" s="24">
        <f>+EDITABLE!L269</f>
        <v>45288</v>
      </c>
    </row>
    <row r="252" spans="1:12" x14ac:dyDescent="0.25">
      <c r="A252" s="3" t="str">
        <f>+EDITABLE!A270</f>
        <v>MONILABORATO</v>
      </c>
      <c r="B252" s="6">
        <f>+EDITABLE!B270</f>
        <v>1</v>
      </c>
      <c r="C252" s="3" t="str">
        <f>+EDITABLE!C270</f>
        <v>MONITOR-6</v>
      </c>
      <c r="D252" s="3" t="str">
        <f>+EDITABLE!D270</f>
        <v>NEGRO</v>
      </c>
      <c r="E252" s="3" t="str">
        <f>+EDITABLE!E270</f>
        <v>SAMSUNG</v>
      </c>
      <c r="F252" s="3" t="str">
        <f>+EDITABLE!F270</f>
        <v>S19A10N</v>
      </c>
      <c r="G252" s="5" t="str">
        <f>+EDITABLE!G270</f>
        <v>ZT14H4LC400506X</v>
      </c>
      <c r="H252" s="3" t="str">
        <f>+EDITABLE!H270</f>
        <v>LABORATORIO COMPUTACIÓN</v>
      </c>
      <c r="I252" s="3" t="str">
        <f>+EDITABLE!I270</f>
        <v>BUENO</v>
      </c>
      <c r="J252" s="3" t="str">
        <f>+EDITABLE!J270</f>
        <v>DE 19", CONECCIÓN VGA CON CLABELDE ENERGIA Y DATOS</v>
      </c>
      <c r="K252" s="2">
        <f>+EDITABLE!K270</f>
        <v>60</v>
      </c>
      <c r="L252" s="24">
        <f>+EDITABLE!L270</f>
        <v>45288</v>
      </c>
    </row>
    <row r="253" spans="1:12" x14ac:dyDescent="0.25">
      <c r="A253" s="3" t="str">
        <f>+EDITABLE!A271</f>
        <v>TECLLABORATO</v>
      </c>
      <c r="B253" s="6">
        <f>+EDITABLE!B271</f>
        <v>1</v>
      </c>
      <c r="C253" s="3" t="str">
        <f>+EDITABLE!C271</f>
        <v>TECLADO-6</v>
      </c>
      <c r="D253" s="3" t="str">
        <f>+EDITABLE!D271</f>
        <v>NEGRO</v>
      </c>
      <c r="E253" s="3" t="str">
        <f>+EDITABLE!E271</f>
        <v>GENIUS</v>
      </c>
      <c r="F253" s="3" t="str">
        <f>+EDITABLE!F271</f>
        <v>KB-115</v>
      </c>
      <c r="G253" s="5" t="str">
        <f>+EDITABLE!G271</f>
        <v>19M2705681</v>
      </c>
      <c r="H253" s="3" t="str">
        <f>+EDITABLE!H271</f>
        <v>LABORATORIO COMPUTACIÓN</v>
      </c>
      <c r="I253" s="3" t="str">
        <f>+EDITABLE!I271</f>
        <v>BUENO</v>
      </c>
      <c r="J253" s="3" t="str">
        <f>+EDITABLE!J271</f>
        <v>ALAMBRICO, CONECTOR USB, COMPATIBLE PARA JUEGOS, TECLADO NUMÉRICO.</v>
      </c>
      <c r="K253" s="2">
        <f>+EDITABLE!K271</f>
        <v>10</v>
      </c>
      <c r="L253" s="24">
        <f>+EDITABLE!L271</f>
        <v>45288</v>
      </c>
    </row>
    <row r="254" spans="1:12" x14ac:dyDescent="0.25">
      <c r="A254" s="3" t="str">
        <f>+EDITABLE!A272</f>
        <v>MOUSLABORATO</v>
      </c>
      <c r="B254" s="6">
        <f>+EDITABLE!B272</f>
        <v>1</v>
      </c>
      <c r="C254" s="3" t="str">
        <f>+EDITABLE!C272</f>
        <v>MOUSE-6</v>
      </c>
      <c r="D254" s="3" t="str">
        <f>+EDITABLE!D272</f>
        <v>NEGRO/GRIS</v>
      </c>
      <c r="E254" s="3" t="str">
        <f>+EDITABLE!E272</f>
        <v>DELUX</v>
      </c>
      <c r="F254" s="3" t="str">
        <f>+EDITABLE!F272</f>
        <v>M312</v>
      </c>
      <c r="G254" s="5" t="str">
        <f>+EDITABLE!G272</f>
        <v>M3121110053297</v>
      </c>
      <c r="H254" s="3" t="str">
        <f>+EDITABLE!H272</f>
        <v>LABORATORIO COMPUTACIÓN</v>
      </c>
      <c r="I254" s="3" t="str">
        <f>+EDITABLE!I272</f>
        <v>BUENO</v>
      </c>
      <c r="J254" s="3" t="str">
        <f>+EDITABLE!J272</f>
        <v>ALAMBRICO Y LUZ LED, USB</v>
      </c>
      <c r="K254" s="2">
        <f>+EDITABLE!K272</f>
        <v>5</v>
      </c>
      <c r="L254" s="24">
        <f>+EDITABLE!L272</f>
        <v>45288</v>
      </c>
    </row>
    <row r="255" spans="1:12" x14ac:dyDescent="0.25">
      <c r="A255" s="3" t="str">
        <f>+EDITABLE!A273</f>
        <v>CPU-LABORATO</v>
      </c>
      <c r="B255" s="6">
        <f>+EDITABLE!B273</f>
        <v>1</v>
      </c>
      <c r="C255" s="3" t="str">
        <f>+EDITABLE!C273</f>
        <v>CPU-7</v>
      </c>
      <c r="D255" s="3" t="str">
        <f>+EDITABLE!D273</f>
        <v>NEGRO</v>
      </c>
      <c r="E255" s="3" t="str">
        <f>+EDITABLE!E273</f>
        <v>DELUX</v>
      </c>
      <c r="F255" s="3" t="str">
        <f>+EDITABLE!F273</f>
        <v>S/M</v>
      </c>
      <c r="G255" s="5" t="str">
        <f>+EDITABLE!G273</f>
        <v>S/S</v>
      </c>
      <c r="H255" s="3" t="str">
        <f>+EDITABLE!H273</f>
        <v>LABORATORIO COMPUTACIÓN</v>
      </c>
      <c r="I255" s="3" t="str">
        <f>+EDITABLE!I273</f>
        <v>BUENO</v>
      </c>
      <c r="J255" s="3" t="str">
        <f>+EDITABLE!J273</f>
        <v>WINDOWS 8.1 INTERPRISE, PROCESADOR: INTEL ® R CORE TM i5-2320 CPU, 3.00 GHZ, RAM 4 GB, 64 BITS, INTERNET ALÁMBRICO</v>
      </c>
      <c r="K255" s="2">
        <f>+EDITABLE!K273</f>
        <v>250</v>
      </c>
      <c r="L255" s="24">
        <f>+EDITABLE!L273</f>
        <v>45288</v>
      </c>
    </row>
    <row r="256" spans="1:12" x14ac:dyDescent="0.25">
      <c r="A256" s="3" t="str">
        <f>+EDITABLE!A274</f>
        <v>MONILABORATO</v>
      </c>
      <c r="B256" s="6">
        <f>+EDITABLE!B274</f>
        <v>1</v>
      </c>
      <c r="C256" s="3" t="str">
        <f>+EDITABLE!C274</f>
        <v>MONITOR-7</v>
      </c>
      <c r="D256" s="3" t="str">
        <f>+EDITABLE!D274</f>
        <v>NEGRO</v>
      </c>
      <c r="E256" s="3" t="str">
        <f>+EDITABLE!E274</f>
        <v>SAMSUNG</v>
      </c>
      <c r="F256" s="3" t="str">
        <f>+EDITABLE!F274</f>
        <v>S19A10N</v>
      </c>
      <c r="G256" s="5" t="str">
        <f>+EDITABLE!G274</f>
        <v>ZT14H4LC401238D</v>
      </c>
      <c r="H256" s="3" t="str">
        <f>+EDITABLE!H274</f>
        <v>LABORATORIO COMPUTACIÓN</v>
      </c>
      <c r="I256" s="3" t="str">
        <f>+EDITABLE!I274</f>
        <v>BUENO</v>
      </c>
      <c r="J256" s="3" t="str">
        <f>+EDITABLE!J274</f>
        <v>DE 19", CONECCIÓN VGA CON CLABELDE ENERGIA Y DATOS</v>
      </c>
      <c r="K256" s="2">
        <f>+EDITABLE!K274</f>
        <v>60</v>
      </c>
      <c r="L256" s="24">
        <f>+EDITABLE!L274</f>
        <v>45288</v>
      </c>
    </row>
    <row r="257" spans="1:12" x14ac:dyDescent="0.25">
      <c r="A257" s="3" t="str">
        <f>+EDITABLE!A275</f>
        <v>TECLLABORATO</v>
      </c>
      <c r="B257" s="6">
        <f>+EDITABLE!B275</f>
        <v>1</v>
      </c>
      <c r="C257" s="3" t="str">
        <f>+EDITABLE!C275</f>
        <v>TECLADO-7</v>
      </c>
      <c r="D257" s="3" t="str">
        <f>+EDITABLE!D275</f>
        <v>NEGRO</v>
      </c>
      <c r="E257" s="3" t="str">
        <f>+EDITABLE!E275</f>
        <v>GENIUS</v>
      </c>
      <c r="F257" s="3" t="str">
        <f>+EDITABLE!F275</f>
        <v>KB-115</v>
      </c>
      <c r="G257" s="5" t="str">
        <f>+EDITABLE!G275</f>
        <v>19M2705687</v>
      </c>
      <c r="H257" s="3" t="str">
        <f>+EDITABLE!H275</f>
        <v>LABORATORIO COMPUTACIÓN</v>
      </c>
      <c r="I257" s="3" t="str">
        <f>+EDITABLE!I275</f>
        <v>BUENO</v>
      </c>
      <c r="J257" s="3" t="str">
        <f>+EDITABLE!J275</f>
        <v>ALAMBRICO, CONECTOR USB, COMPATIBLE PARA JUEGOS, TECLADO NUMÉRICO.</v>
      </c>
      <c r="K257" s="2">
        <f>+EDITABLE!K275</f>
        <v>10</v>
      </c>
      <c r="L257" s="24">
        <f>+EDITABLE!L275</f>
        <v>45288</v>
      </c>
    </row>
    <row r="258" spans="1:12" x14ac:dyDescent="0.25">
      <c r="A258" s="3" t="str">
        <f>+EDITABLE!A276</f>
        <v>MOUSLABORATO</v>
      </c>
      <c r="B258" s="6">
        <f>+EDITABLE!B276</f>
        <v>1</v>
      </c>
      <c r="C258" s="3" t="str">
        <f>+EDITABLE!C276</f>
        <v>MOUSE-7</v>
      </c>
      <c r="D258" s="3" t="str">
        <f>+EDITABLE!D276</f>
        <v>NEGRO</v>
      </c>
      <c r="E258" s="3" t="str">
        <f>+EDITABLE!E276</f>
        <v>GENIUS</v>
      </c>
      <c r="F258" s="3" t="str">
        <f>+EDITABLE!F276</f>
        <v>DX-160</v>
      </c>
      <c r="G258" s="5" t="str">
        <f>+EDITABLE!G276</f>
        <v>D19M2705687</v>
      </c>
      <c r="H258" s="3" t="str">
        <f>+EDITABLE!H276</f>
        <v>LABORATORIO COMPUTACIÓN</v>
      </c>
      <c r="I258" s="3" t="str">
        <f>+EDITABLE!I276</f>
        <v>BUENO</v>
      </c>
      <c r="J258" s="3" t="str">
        <f>+EDITABLE!J276</f>
        <v>ALAMBRICO, LED, DISEÑO ERGONÓMICO</v>
      </c>
      <c r="K258" s="2">
        <f>+EDITABLE!K276</f>
        <v>6</v>
      </c>
      <c r="L258" s="24">
        <f>+EDITABLE!L276</f>
        <v>45288</v>
      </c>
    </row>
    <row r="259" spans="1:12" x14ac:dyDescent="0.25">
      <c r="A259" s="3" t="str">
        <f>+EDITABLE!A277</f>
        <v>CPU-LABORATO</v>
      </c>
      <c r="B259" s="6">
        <f>+EDITABLE!B277</f>
        <v>1</v>
      </c>
      <c r="C259" s="3" t="str">
        <f>+EDITABLE!C277</f>
        <v>CPU-8</v>
      </c>
      <c r="D259" s="3" t="str">
        <f>+EDITABLE!D277</f>
        <v>NEGRO</v>
      </c>
      <c r="E259" s="3" t="str">
        <f>+EDITABLE!E277</f>
        <v>ZIP</v>
      </c>
      <c r="F259" s="3" t="str">
        <f>+EDITABLE!F277</f>
        <v>GENERICO</v>
      </c>
      <c r="G259" s="5" t="str">
        <f>+EDITABLE!G277</f>
        <v>S/S</v>
      </c>
      <c r="H259" s="3" t="str">
        <f>+EDITABLE!H277</f>
        <v>LABORATORIO COMPUTACIÓN</v>
      </c>
      <c r="I259" s="3" t="str">
        <f>+EDITABLE!I277</f>
        <v>BUENO</v>
      </c>
      <c r="J259" s="3" t="str">
        <f>+EDITABLE!J277</f>
        <v>WINDOWS 8.1 INTERPRISE, PROCESADOR: INTEL ® R CORE TM i5-2310 CPU, 3.90 GHZ, RAM 4 GB, 64 BITS, INTERNET ALÁMBRICO</v>
      </c>
      <c r="K259" s="2">
        <f>+EDITABLE!K277</f>
        <v>250</v>
      </c>
      <c r="L259" s="24">
        <f>+EDITABLE!L277</f>
        <v>45288</v>
      </c>
    </row>
    <row r="260" spans="1:12" x14ac:dyDescent="0.25">
      <c r="A260" s="3" t="str">
        <f>+EDITABLE!A278</f>
        <v>MONILABORATO</v>
      </c>
      <c r="B260" s="6">
        <f>+EDITABLE!B278</f>
        <v>1</v>
      </c>
      <c r="C260" s="3" t="str">
        <f>+EDITABLE!C278</f>
        <v>MONITOR-8</v>
      </c>
      <c r="D260" s="3" t="str">
        <f>+EDITABLE!D278</f>
        <v>NEGRO</v>
      </c>
      <c r="E260" s="3" t="str">
        <f>+EDITABLE!E278</f>
        <v>HP</v>
      </c>
      <c r="F260" s="3" t="str">
        <f>+EDITABLE!F278</f>
        <v>LV1911</v>
      </c>
      <c r="G260" s="5" t="str">
        <f>+EDITABLE!G278</f>
        <v>6CM2113016R</v>
      </c>
      <c r="H260" s="3" t="str">
        <f>+EDITABLE!H278</f>
        <v>LABORATORIO COMPUTACIÓN</v>
      </c>
      <c r="I260" s="3" t="str">
        <f>+EDITABLE!I278</f>
        <v>BUENO</v>
      </c>
      <c r="J260" s="3" t="str">
        <f>+EDITABLE!J278</f>
        <v>DE 19", CONECCIÓN VGA CON CLABELDE ENERGIA Y DATOS</v>
      </c>
      <c r="K260" s="2">
        <f>+EDITABLE!K278</f>
        <v>100</v>
      </c>
      <c r="L260" s="24">
        <f>+EDITABLE!L278</f>
        <v>45288</v>
      </c>
    </row>
    <row r="261" spans="1:12" x14ac:dyDescent="0.25">
      <c r="A261" s="3" t="str">
        <f>+EDITABLE!A279</f>
        <v>TECLLABORATO</v>
      </c>
      <c r="B261" s="6">
        <f>+EDITABLE!B279</f>
        <v>1</v>
      </c>
      <c r="C261" s="3" t="str">
        <f>+EDITABLE!C279</f>
        <v>TECLADO-8</v>
      </c>
      <c r="D261" s="3" t="str">
        <f>+EDITABLE!D279</f>
        <v>NEGRO</v>
      </c>
      <c r="E261" s="3" t="str">
        <f>+EDITABLE!E279</f>
        <v>GENIUS</v>
      </c>
      <c r="F261" s="3" t="str">
        <f>+EDITABLE!F279</f>
        <v>KB-115</v>
      </c>
      <c r="G261" s="5" t="str">
        <f>+EDITABLE!G279</f>
        <v>19M2705683</v>
      </c>
      <c r="H261" s="3" t="str">
        <f>+EDITABLE!H279</f>
        <v>LABORATORIO COMPUTACIÓN</v>
      </c>
      <c r="I261" s="3" t="str">
        <f>+EDITABLE!I279</f>
        <v>BUENO</v>
      </c>
      <c r="J261" s="3" t="str">
        <f>+EDITABLE!J279</f>
        <v>ALAMBRICO, CONECTOR USB, COMPATIBLE PARA JUEGOS, TECLADO NUMÉRICO.</v>
      </c>
      <c r="K261" s="2">
        <f>+EDITABLE!K279</f>
        <v>10</v>
      </c>
      <c r="L261" s="24">
        <f>+EDITABLE!L279</f>
        <v>45288</v>
      </c>
    </row>
    <row r="262" spans="1:12" x14ac:dyDescent="0.25">
      <c r="A262" s="3" t="str">
        <f>+EDITABLE!A280</f>
        <v>MOUSLABORATO</v>
      </c>
      <c r="B262" s="6">
        <f>+EDITABLE!B280</f>
        <v>1</v>
      </c>
      <c r="C262" s="3" t="str">
        <f>+EDITABLE!C280</f>
        <v>MOUSE-8</v>
      </c>
      <c r="D262" s="3" t="str">
        <f>+EDITABLE!D280</f>
        <v>NEGRO/GRIS</v>
      </c>
      <c r="E262" s="3" t="str">
        <f>+EDITABLE!E280</f>
        <v>GENIUS</v>
      </c>
      <c r="F262" s="3" t="str">
        <f>+EDITABLE!F280</f>
        <v>GM-0500</v>
      </c>
      <c r="G262" s="5" t="str">
        <f>+EDITABLE!G280</f>
        <v>141373302156</v>
      </c>
      <c r="H262" s="3" t="str">
        <f>+EDITABLE!H280</f>
        <v>LABORATORIO COMPUTACIÓN</v>
      </c>
      <c r="I262" s="3" t="str">
        <f>+EDITABLE!I280</f>
        <v>BUENO</v>
      </c>
      <c r="J262" s="3" t="str">
        <f>+EDITABLE!J280</f>
        <v>ALAMBRICO, LED, DISEÑO ERGONÓMICO</v>
      </c>
      <c r="K262" s="2">
        <f>+EDITABLE!K280</f>
        <v>6</v>
      </c>
      <c r="L262" s="24">
        <f>+EDITABLE!L280</f>
        <v>45288</v>
      </c>
    </row>
    <row r="263" spans="1:12" x14ac:dyDescent="0.25">
      <c r="A263" s="3" t="str">
        <f>+EDITABLE!A281</f>
        <v>CPU-LABORATO</v>
      </c>
      <c r="B263" s="6">
        <f>+EDITABLE!B281</f>
        <v>1</v>
      </c>
      <c r="C263" s="3" t="str">
        <f>+EDITABLE!C281</f>
        <v>CPU-9</v>
      </c>
      <c r="D263" s="3" t="str">
        <f>+EDITABLE!D281</f>
        <v>NEGRO</v>
      </c>
      <c r="E263" s="3" t="str">
        <f>+EDITABLE!E281</f>
        <v>DELUX</v>
      </c>
      <c r="F263" s="3" t="str">
        <f>+EDITABLE!F281</f>
        <v>GENERICO</v>
      </c>
      <c r="G263" s="5" t="str">
        <f>+EDITABLE!G281</f>
        <v>S/S</v>
      </c>
      <c r="H263" s="3" t="str">
        <f>+EDITABLE!H281</f>
        <v>LABORATORIO COMPUTACIÓN</v>
      </c>
      <c r="I263" s="3" t="str">
        <f>+EDITABLE!I281</f>
        <v>BUENO</v>
      </c>
      <c r="J263" s="3" t="str">
        <f>+EDITABLE!J281</f>
        <v>WINDOWS 8.1 INTERPRISE, PROCESADOR: INTEL ® R CORE TM i5-2109CPU, 3.90 GHZ, RAM 4 GB, 64 BITS, INTERNET ALÁMBRICO</v>
      </c>
      <c r="K263" s="2">
        <f>+EDITABLE!K281</f>
        <v>250</v>
      </c>
      <c r="L263" s="24">
        <f>+EDITABLE!L281</f>
        <v>45288</v>
      </c>
    </row>
    <row r="264" spans="1:12" x14ac:dyDescent="0.25">
      <c r="A264" s="3" t="str">
        <f>+EDITABLE!A282</f>
        <v>MONILABORATO</v>
      </c>
      <c r="B264" s="6">
        <f>+EDITABLE!B282</f>
        <v>1</v>
      </c>
      <c r="C264" s="3" t="str">
        <f>+EDITABLE!C282</f>
        <v>MONITOR-9</v>
      </c>
      <c r="D264" s="3" t="str">
        <f>+EDITABLE!D282</f>
        <v>NEGRO</v>
      </c>
      <c r="E264" s="3" t="str">
        <f>+EDITABLE!E282</f>
        <v>SAMSUNG</v>
      </c>
      <c r="F264" s="3" t="str">
        <f>+EDITABLE!F282</f>
        <v>S19A10N</v>
      </c>
      <c r="G264" s="5" t="str">
        <f>+EDITABLE!G282</f>
        <v>ZT14H4NC201948X</v>
      </c>
      <c r="H264" s="3" t="str">
        <f>+EDITABLE!H282</f>
        <v>LABORATORIO COMPUTACIÓN</v>
      </c>
      <c r="I264" s="3" t="str">
        <f>+EDITABLE!I282</f>
        <v>BUENO</v>
      </c>
      <c r="J264" s="3" t="str">
        <f>+EDITABLE!J282</f>
        <v>DE 19", CONECCIÓN VGA CON CLABELDE ENERGIA Y DATOS</v>
      </c>
      <c r="K264" s="2">
        <f>+EDITABLE!K282</f>
        <v>60</v>
      </c>
      <c r="L264" s="24">
        <f>+EDITABLE!L282</f>
        <v>45288</v>
      </c>
    </row>
    <row r="265" spans="1:12" x14ac:dyDescent="0.25">
      <c r="A265" s="3" t="str">
        <f>+EDITABLE!A283</f>
        <v>TECLLABORATO</v>
      </c>
      <c r="B265" s="6">
        <f>+EDITABLE!B283</f>
        <v>1</v>
      </c>
      <c r="C265" s="3" t="str">
        <f>+EDITABLE!C283</f>
        <v>TECLADO-9</v>
      </c>
      <c r="D265" s="3" t="str">
        <f>+EDITABLE!D283</f>
        <v>NEGRO</v>
      </c>
      <c r="E265" s="3" t="str">
        <f>+EDITABLE!E283</f>
        <v>GENIUS</v>
      </c>
      <c r="F265" s="3" t="str">
        <f>+EDITABLE!F283</f>
        <v>GK-1011</v>
      </c>
      <c r="G265" s="5" t="str">
        <f>+EDITABLE!G283</f>
        <v>WE150WB12194</v>
      </c>
      <c r="H265" s="3" t="str">
        <f>+EDITABLE!H283</f>
        <v>LABORATORIO COMPUTACIÓN</v>
      </c>
      <c r="I265" s="3" t="str">
        <f>+EDITABLE!I283</f>
        <v>BUENO</v>
      </c>
      <c r="J265" s="3" t="str">
        <f>+EDITABLE!J283</f>
        <v>ALAMBRICO, CONECTOR USB, COMPATIBLE PARA JUEGOS, TECLADO NUMÉRICO.</v>
      </c>
      <c r="K265" s="2">
        <f>+EDITABLE!K283</f>
        <v>10</v>
      </c>
      <c r="L265" s="24">
        <f>+EDITABLE!L283</f>
        <v>45288</v>
      </c>
    </row>
    <row r="266" spans="1:12" x14ac:dyDescent="0.25">
      <c r="A266" s="3" t="str">
        <f>+EDITABLE!A284</f>
        <v>MOUSLABORATO</v>
      </c>
      <c r="B266" s="6">
        <f>+EDITABLE!B284</f>
        <v>1</v>
      </c>
      <c r="C266" s="3" t="str">
        <f>+EDITABLE!C284</f>
        <v>MOUSE-9</v>
      </c>
      <c r="D266" s="3" t="str">
        <f>+EDITABLE!D284</f>
        <v>NEGRO</v>
      </c>
      <c r="E266" s="3" t="str">
        <f>+EDITABLE!E284</f>
        <v>GENIUS</v>
      </c>
      <c r="F266" s="3" t="str">
        <f>+EDITABLE!F284</f>
        <v>GM-120014</v>
      </c>
      <c r="G266" s="5" t="str">
        <f>+EDITABLE!G284</f>
        <v>33GB84721700117</v>
      </c>
      <c r="H266" s="3" t="str">
        <f>+EDITABLE!H284</f>
        <v>LABORATORIO COMPUTACIÓN</v>
      </c>
      <c r="I266" s="3" t="str">
        <f>+EDITABLE!I284</f>
        <v>BUENO</v>
      </c>
      <c r="J266" s="3" t="str">
        <f>+EDITABLE!J284</f>
        <v>ALAMBRICO, LED, DISEÑO ERGONÓMICO</v>
      </c>
      <c r="K266" s="2">
        <f>+EDITABLE!K284</f>
        <v>6</v>
      </c>
      <c r="L266" s="24">
        <f>+EDITABLE!L284</f>
        <v>45288</v>
      </c>
    </row>
    <row r="267" spans="1:12" x14ac:dyDescent="0.25">
      <c r="A267" s="3" t="str">
        <f>+EDITABLE!A285</f>
        <v>CPU-LABORATO</v>
      </c>
      <c r="B267" s="6">
        <f>+EDITABLE!B285</f>
        <v>1</v>
      </c>
      <c r="C267" s="3" t="str">
        <f>+EDITABLE!C285</f>
        <v>CPU-10</v>
      </c>
      <c r="D267" s="3" t="str">
        <f>+EDITABLE!D285</f>
        <v>NEGRO</v>
      </c>
      <c r="E267" s="3" t="str">
        <f>+EDITABLE!E285</f>
        <v>ALTEK</v>
      </c>
      <c r="F267" s="3" t="str">
        <f>+EDITABLE!F285</f>
        <v>GENERICO</v>
      </c>
      <c r="G267" s="5" t="str">
        <f>+EDITABLE!G285</f>
        <v>S/S</v>
      </c>
      <c r="H267" s="3" t="str">
        <f>+EDITABLE!H285</f>
        <v>LABORATORIO COMPUTACIÓN</v>
      </c>
      <c r="I267" s="3" t="str">
        <f>+EDITABLE!I285</f>
        <v>BUENO</v>
      </c>
      <c r="J267" s="3" t="str">
        <f>+EDITABLE!J285</f>
        <v>WINDOWS 8.1 INTERPRISE, PROCESADOR: INTEL ® R CORE TM 2DUO CPU, E4600 2.40 GHZ, RAM 1.5 GB, 64 BITS, INTERNET ALÁMBRICO</v>
      </c>
      <c r="K267" s="2">
        <f>+EDITABLE!K285</f>
        <v>250</v>
      </c>
      <c r="L267" s="24">
        <f>+EDITABLE!L285</f>
        <v>45288</v>
      </c>
    </row>
    <row r="268" spans="1:12" x14ac:dyDescent="0.25">
      <c r="A268" s="3" t="str">
        <f>+EDITABLE!A286</f>
        <v>MONILABORATO</v>
      </c>
      <c r="B268" s="6">
        <f>+EDITABLE!B286</f>
        <v>1</v>
      </c>
      <c r="C268" s="3" t="str">
        <f>+EDITABLE!C286</f>
        <v>MONITOR-10</v>
      </c>
      <c r="D268" s="3" t="str">
        <f>+EDITABLE!D286</f>
        <v>NEGRO</v>
      </c>
      <c r="E268" s="3" t="str">
        <f>+EDITABLE!E286</f>
        <v>SAMSUNG</v>
      </c>
      <c r="F268" s="3" t="str">
        <f>+EDITABLE!F286</f>
        <v>S19A10N</v>
      </c>
      <c r="G268" s="5" t="str">
        <f>+EDITABLE!G286</f>
        <v>ZT14H4LC402734Y</v>
      </c>
      <c r="H268" s="3" t="str">
        <f>+EDITABLE!H286</f>
        <v>LABORATORIO COMPUTACIÓN</v>
      </c>
      <c r="I268" s="3" t="str">
        <f>+EDITABLE!I286</f>
        <v>BUENO</v>
      </c>
      <c r="J268" s="3" t="str">
        <f>+EDITABLE!J286</f>
        <v>DE 19", CONECCIÓN VGA CON CLABELDE ENERGIA Y DATOS</v>
      </c>
      <c r="K268" s="2">
        <f>+EDITABLE!K286</f>
        <v>60</v>
      </c>
      <c r="L268" s="24">
        <f>+EDITABLE!L286</f>
        <v>45288</v>
      </c>
    </row>
    <row r="269" spans="1:12" x14ac:dyDescent="0.25">
      <c r="A269" s="3" t="str">
        <f>+EDITABLE!A287</f>
        <v>TECLLABORATO</v>
      </c>
      <c r="B269" s="6">
        <f>+EDITABLE!B287</f>
        <v>1</v>
      </c>
      <c r="C269" s="3" t="str">
        <f>+EDITABLE!C287</f>
        <v>TECLADO-10</v>
      </c>
      <c r="D269" s="3" t="str">
        <f>+EDITABLE!D287</f>
        <v>NEGRO</v>
      </c>
      <c r="E269" s="3" t="str">
        <f>+EDITABLE!E287</f>
        <v>DELUX</v>
      </c>
      <c r="F269" s="3" t="str">
        <f>+EDITABLE!F287</f>
        <v>K5015</v>
      </c>
      <c r="G269" s="5" t="str">
        <f>+EDITABLE!G287</f>
        <v>K50151110000241</v>
      </c>
      <c r="H269" s="3" t="str">
        <f>+EDITABLE!H287</f>
        <v>LABORATORIO COMPUTACIÓN</v>
      </c>
      <c r="I269" s="3" t="str">
        <f>+EDITABLE!I287</f>
        <v>BUENO</v>
      </c>
      <c r="J269" s="3" t="str">
        <f>+EDITABLE!J287</f>
        <v>ALAMBRICO, HERGONÓMICO, VARIOS USOS, CONECTOR USB</v>
      </c>
      <c r="K269" s="2">
        <f>+EDITABLE!K287</f>
        <v>17</v>
      </c>
      <c r="L269" s="24">
        <f>+EDITABLE!L287</f>
        <v>45288</v>
      </c>
    </row>
    <row r="270" spans="1:12" x14ac:dyDescent="0.25">
      <c r="A270" s="3" t="str">
        <f>+EDITABLE!A288</f>
        <v>MOUSLABORATO</v>
      </c>
      <c r="B270" s="6">
        <f>+EDITABLE!B288</f>
        <v>1</v>
      </c>
      <c r="C270" s="3" t="str">
        <f>+EDITABLE!C288</f>
        <v>MOUSE-10</v>
      </c>
      <c r="D270" s="3" t="str">
        <f>+EDITABLE!D288</f>
        <v>NEGRO</v>
      </c>
      <c r="E270" s="3" t="str">
        <f>+EDITABLE!E288</f>
        <v>GENIUS</v>
      </c>
      <c r="F270" s="3" t="str">
        <f>+EDITABLE!F288</f>
        <v>DX160</v>
      </c>
      <c r="G270" s="5" t="str">
        <f>+EDITABLE!G288</f>
        <v>UD19M2705685</v>
      </c>
      <c r="H270" s="3" t="str">
        <f>+EDITABLE!H288</f>
        <v>LABORATORIO COMPUTACIÓN</v>
      </c>
      <c r="I270" s="3" t="str">
        <f>+EDITABLE!I288</f>
        <v>BUENO</v>
      </c>
      <c r="J270" s="3" t="str">
        <f>+EDITABLE!J288</f>
        <v>ALAMBRICO, LED, DISEÑO ERGONÓMICO</v>
      </c>
      <c r="K270" s="2">
        <f>+EDITABLE!K288</f>
        <v>6</v>
      </c>
      <c r="L270" s="24">
        <f>+EDITABLE!L288</f>
        <v>45288</v>
      </c>
    </row>
    <row r="271" spans="1:12" x14ac:dyDescent="0.25">
      <c r="A271" s="3" t="str">
        <f>+EDITABLE!A289</f>
        <v>CPU-LABORATO</v>
      </c>
      <c r="B271" s="6">
        <f>+EDITABLE!B289</f>
        <v>1</v>
      </c>
      <c r="C271" s="3" t="str">
        <f>+EDITABLE!C289</f>
        <v>CPU-11</v>
      </c>
      <c r="D271" s="3" t="str">
        <f>+EDITABLE!D289</f>
        <v>NEGRO</v>
      </c>
      <c r="E271" s="3" t="str">
        <f>+EDITABLE!E289</f>
        <v>DELUX</v>
      </c>
      <c r="F271" s="3" t="str">
        <f>+EDITABLE!F289</f>
        <v>GENERICO</v>
      </c>
      <c r="G271" s="5" t="str">
        <f>+EDITABLE!G289</f>
        <v>S/S</v>
      </c>
      <c r="H271" s="3" t="str">
        <f>+EDITABLE!H289</f>
        <v>LABORATORIO COMPUTACIÓN</v>
      </c>
      <c r="I271" s="3" t="str">
        <f>+EDITABLE!I289</f>
        <v>BUENO</v>
      </c>
      <c r="J271" s="3" t="str">
        <f>+EDITABLE!J289</f>
        <v>WINDOWS 8.1 INTERPRISE, PROCESADOR: INTEL ® R CORE TM i5-2310 CPU, 3.90 GHZ, RAM 4 GB, 64 BITS, INTERNET ALÁMBRICO</v>
      </c>
      <c r="K271" s="2">
        <f>+EDITABLE!K289</f>
        <v>250</v>
      </c>
      <c r="L271" s="24">
        <f>+EDITABLE!L289</f>
        <v>45288</v>
      </c>
    </row>
    <row r="272" spans="1:12" x14ac:dyDescent="0.25">
      <c r="A272" s="3" t="str">
        <f>+EDITABLE!A290</f>
        <v>MONILABORATO</v>
      </c>
      <c r="B272" s="6">
        <f>+EDITABLE!B290</f>
        <v>1</v>
      </c>
      <c r="C272" s="3" t="str">
        <f>+EDITABLE!C290</f>
        <v>MONITOR-11</v>
      </c>
      <c r="D272" s="3" t="str">
        <f>+EDITABLE!D290</f>
        <v>NEGRO</v>
      </c>
      <c r="E272" s="3" t="str">
        <f>+EDITABLE!E290</f>
        <v>SAMSUNG</v>
      </c>
      <c r="F272" s="3" t="str">
        <f>+EDITABLE!F290</f>
        <v>B1930N</v>
      </c>
      <c r="G272" s="5" t="str">
        <f>+EDITABLE!G290</f>
        <v>YC5RH9MB509363B</v>
      </c>
      <c r="H272" s="3" t="str">
        <f>+EDITABLE!H290</f>
        <v>LABORATORIO COMPUTACIÓN</v>
      </c>
      <c r="I272" s="3" t="str">
        <f>+EDITABLE!I290</f>
        <v>BUENO</v>
      </c>
      <c r="J272" s="3" t="str">
        <f>+EDITABLE!J290</f>
        <v>DE 19", CONECCIÓN VGA CON CLABELDE ENERGIA Y DATOS</v>
      </c>
      <c r="K272" s="2">
        <f>+EDITABLE!K290</f>
        <v>60</v>
      </c>
      <c r="L272" s="24">
        <f>+EDITABLE!L290</f>
        <v>45288</v>
      </c>
    </row>
    <row r="273" spans="1:12" x14ac:dyDescent="0.25">
      <c r="A273" s="3" t="str">
        <f>+EDITABLE!A291</f>
        <v>TECLLABORATO</v>
      </c>
      <c r="B273" s="6">
        <f>+EDITABLE!B291</f>
        <v>1</v>
      </c>
      <c r="C273" s="3" t="str">
        <f>+EDITABLE!C291</f>
        <v>TECLADO-11</v>
      </c>
      <c r="D273" s="3" t="str">
        <f>+EDITABLE!D291</f>
        <v>NEGRO</v>
      </c>
      <c r="E273" s="3" t="str">
        <f>+EDITABLE!E291</f>
        <v>DELUX</v>
      </c>
      <c r="F273" s="3" t="str">
        <f>+EDITABLE!F291</f>
        <v>K5015</v>
      </c>
      <c r="G273" s="5" t="str">
        <f>+EDITABLE!G291</f>
        <v>K50151110000367</v>
      </c>
      <c r="H273" s="3" t="str">
        <f>+EDITABLE!H291</f>
        <v>LABORATORIO COMPUTACIÓN</v>
      </c>
      <c r="I273" s="3" t="str">
        <f>+EDITABLE!I291</f>
        <v>BUENO</v>
      </c>
      <c r="J273" s="3" t="str">
        <f>+EDITABLE!J291</f>
        <v>ALAMBRICO, HERGONÓMICO, VARIOS USOS, CONECTOR USB</v>
      </c>
      <c r="K273" s="2">
        <f>+EDITABLE!K291</f>
        <v>17</v>
      </c>
      <c r="L273" s="24">
        <f>+EDITABLE!L291</f>
        <v>45288</v>
      </c>
    </row>
    <row r="274" spans="1:12" x14ac:dyDescent="0.25">
      <c r="A274" s="3" t="str">
        <f>+EDITABLE!A292</f>
        <v>MOUSLABORATO</v>
      </c>
      <c r="B274" s="6">
        <f>+EDITABLE!B292</f>
        <v>1</v>
      </c>
      <c r="C274" s="3" t="str">
        <f>+EDITABLE!C292</f>
        <v>MOUSE-11</v>
      </c>
      <c r="D274" s="3" t="str">
        <f>+EDITABLE!D292</f>
        <v>NEGRO</v>
      </c>
      <c r="E274" s="3" t="str">
        <f>+EDITABLE!E292</f>
        <v>GENIUS</v>
      </c>
      <c r="F274" s="3" t="str">
        <f>+EDITABLE!F292</f>
        <v>DX160</v>
      </c>
      <c r="G274" s="5" t="str">
        <f>+EDITABLE!G292</f>
        <v>UD19M2705683</v>
      </c>
      <c r="H274" s="3" t="str">
        <f>+EDITABLE!H292</f>
        <v>LABORATORIO COMPUTACIÓN</v>
      </c>
      <c r="I274" s="3" t="str">
        <f>+EDITABLE!I292</f>
        <v>BUENO</v>
      </c>
      <c r="J274" s="3" t="str">
        <f>+EDITABLE!J292</f>
        <v>ALAMBRICO, LED, DISEÑO ERGONÓMICO</v>
      </c>
      <c r="K274" s="2">
        <f>+EDITABLE!K292</f>
        <v>6</v>
      </c>
      <c r="L274" s="24">
        <f>+EDITABLE!L292</f>
        <v>45288</v>
      </c>
    </row>
    <row r="275" spans="1:12" x14ac:dyDescent="0.25">
      <c r="A275" s="3" t="str">
        <f>+EDITABLE!A293</f>
        <v>CPU-LABORATO</v>
      </c>
      <c r="B275" s="6">
        <f>+EDITABLE!B293</f>
        <v>1</v>
      </c>
      <c r="C275" s="3" t="str">
        <f>+EDITABLE!C293</f>
        <v>CPU-12</v>
      </c>
      <c r="D275" s="3" t="str">
        <f>+EDITABLE!D293</f>
        <v>NEGRO</v>
      </c>
      <c r="E275" s="3" t="str">
        <f>+EDITABLE!E293</f>
        <v>DELUX</v>
      </c>
      <c r="F275" s="3" t="str">
        <f>+EDITABLE!F293</f>
        <v>GENERICO</v>
      </c>
      <c r="G275" s="5" t="str">
        <f>+EDITABLE!G293</f>
        <v>S/S</v>
      </c>
      <c r="H275" s="3" t="str">
        <f>+EDITABLE!H293</f>
        <v>LABORATORIO COMPUTACIÓN</v>
      </c>
      <c r="I275" s="3" t="str">
        <f>+EDITABLE!I293</f>
        <v>BUENO</v>
      </c>
      <c r="J275" s="3" t="str">
        <f>+EDITABLE!J293</f>
        <v>WINDOWS 8.1 INTERPRISE, PROCESADOR: INTEL ® R CORE TM i5-2310 CPU, 2.90 GHZ, RAM 4 GB, 64 BITS, INTERNET ALÁMBRICO</v>
      </c>
      <c r="K275" s="2">
        <f>+EDITABLE!K293</f>
        <v>250</v>
      </c>
      <c r="L275" s="24">
        <f>+EDITABLE!L293</f>
        <v>45288</v>
      </c>
    </row>
    <row r="276" spans="1:12" x14ac:dyDescent="0.25">
      <c r="A276" s="3" t="str">
        <f>+EDITABLE!A294</f>
        <v>MONILABORATO</v>
      </c>
      <c r="B276" s="6">
        <f>+EDITABLE!B294</f>
        <v>1</v>
      </c>
      <c r="C276" s="3" t="str">
        <f>+EDITABLE!C294</f>
        <v>MONITOR-12</v>
      </c>
      <c r="D276" s="3" t="str">
        <f>+EDITABLE!D294</f>
        <v>NEGRO</v>
      </c>
      <c r="E276" s="3" t="str">
        <f>+EDITABLE!E294</f>
        <v>LG</v>
      </c>
      <c r="F276" s="3" t="str">
        <f>+EDITABLE!F294</f>
        <v>W1942ST</v>
      </c>
      <c r="G276" s="5" t="str">
        <f>+EDITABLE!G294</f>
        <v>812MXDM0A554</v>
      </c>
      <c r="H276" s="3" t="str">
        <f>+EDITABLE!H294</f>
        <v>LABORATORIO COMPUTACIÓN</v>
      </c>
      <c r="I276" s="3" t="str">
        <f>+EDITABLE!I294</f>
        <v>BUENO</v>
      </c>
      <c r="J276" s="3" t="str">
        <f>+EDITABLE!J294</f>
        <v>DE 19", CONECCIÓN VGA CON CLABELDE ENERGIA Y DATOS</v>
      </c>
      <c r="K276" s="2">
        <f>+EDITABLE!K294</f>
        <v>60</v>
      </c>
      <c r="L276" s="24">
        <f>+EDITABLE!L294</f>
        <v>45288</v>
      </c>
    </row>
    <row r="277" spans="1:12" x14ac:dyDescent="0.25">
      <c r="A277" s="3" t="str">
        <f>+EDITABLE!A295</f>
        <v>TECLLABORATO</v>
      </c>
      <c r="B277" s="6">
        <f>+EDITABLE!B295</f>
        <v>1</v>
      </c>
      <c r="C277" s="3" t="str">
        <f>+EDITABLE!C295</f>
        <v>TECLADO-12</v>
      </c>
      <c r="D277" s="3" t="str">
        <f>+EDITABLE!D295</f>
        <v>NEGRO/ROJO</v>
      </c>
      <c r="E277" s="3" t="str">
        <f>+EDITABLE!E295</f>
        <v>ALTEK</v>
      </c>
      <c r="F277" s="3" t="str">
        <f>+EDITABLE!F295</f>
        <v>GENERICO</v>
      </c>
      <c r="G277" s="5" t="str">
        <f>+EDITABLE!G295</f>
        <v>3856130600473</v>
      </c>
      <c r="H277" s="3" t="str">
        <f>+EDITABLE!H295</f>
        <v>LABORATORIO COMPUTACIÓN</v>
      </c>
      <c r="I277" s="3" t="str">
        <f>+EDITABLE!I295</f>
        <v>BUENO</v>
      </c>
      <c r="J277" s="3" t="str">
        <f>+EDITABLE!J295</f>
        <v>ALAMBRICO, HERGONÓMICO, VARIOS USOS, CONECTOR USB</v>
      </c>
      <c r="K277" s="2">
        <f>+EDITABLE!K295</f>
        <v>17</v>
      </c>
      <c r="L277" s="24">
        <f>+EDITABLE!L295</f>
        <v>45288</v>
      </c>
    </row>
    <row r="278" spans="1:12" x14ac:dyDescent="0.25">
      <c r="A278" s="3" t="str">
        <f>+EDITABLE!A296</f>
        <v>MOUSLABORATO</v>
      </c>
      <c r="B278" s="6">
        <f>+EDITABLE!B296</f>
        <v>1</v>
      </c>
      <c r="C278" s="3" t="str">
        <f>+EDITABLE!C296</f>
        <v>MOUSE-12</v>
      </c>
      <c r="D278" s="3" t="str">
        <f>+EDITABLE!D296</f>
        <v>NEGRO</v>
      </c>
      <c r="E278" s="3" t="str">
        <f>+EDITABLE!E296</f>
        <v>JEUANG</v>
      </c>
      <c r="F278" s="3" t="str">
        <f>+EDITABLE!F296</f>
        <v>GENERICO</v>
      </c>
      <c r="G278" s="5" t="str">
        <f>+EDITABLE!G296</f>
        <v>S/S</v>
      </c>
      <c r="H278" s="3" t="str">
        <f>+EDITABLE!H296</f>
        <v>LABORATORIO COMPUTACIÓN</v>
      </c>
      <c r="I278" s="3" t="str">
        <f>+EDITABLE!I296</f>
        <v>BUENO</v>
      </c>
      <c r="J278" s="3" t="str">
        <f>+EDITABLE!J296</f>
        <v>ALAMBRICO, LUZ LED, DISEÑO ERGOÓMICO</v>
      </c>
      <c r="K278" s="2">
        <f>+EDITABLE!K296</f>
        <v>6</v>
      </c>
      <c r="L278" s="24">
        <f>+EDITABLE!L296</f>
        <v>45288</v>
      </c>
    </row>
    <row r="279" spans="1:12" x14ac:dyDescent="0.25">
      <c r="A279" s="3" t="str">
        <f>+EDITABLE!A297</f>
        <v>CPU-LABORATO</v>
      </c>
      <c r="B279" s="6">
        <f>+EDITABLE!B297</f>
        <v>1</v>
      </c>
      <c r="C279" s="3" t="str">
        <f>+EDITABLE!C297</f>
        <v>CPU-13</v>
      </c>
      <c r="D279" s="3" t="str">
        <f>+EDITABLE!D297</f>
        <v>NEGRO/AZUL</v>
      </c>
      <c r="E279" s="3" t="str">
        <f>+EDITABLE!E297</f>
        <v>ALTEK</v>
      </c>
      <c r="F279" s="3" t="str">
        <f>+EDITABLE!F297</f>
        <v>GENERICO</v>
      </c>
      <c r="G279" s="5" t="str">
        <f>+EDITABLE!G297</f>
        <v>3856130601394</v>
      </c>
      <c r="H279" s="3" t="str">
        <f>+EDITABLE!H297</f>
        <v>LABORATORIO COMPUTACIÓN</v>
      </c>
      <c r="I279" s="3" t="str">
        <f>+EDITABLE!I297</f>
        <v>BUENO</v>
      </c>
      <c r="J279" s="3" t="str">
        <f>+EDITABLE!J297</f>
        <v>WINDOWS 8.1 INTERPRISE, PROCESADOR: INTEL ® R CORE TM i5-3330 CPU, 3.00 GHZ, RAM 4 GB, 64 BITS, INTERNET ALÁMBRICO</v>
      </c>
      <c r="K279" s="2">
        <f>+EDITABLE!K297</f>
        <v>250</v>
      </c>
      <c r="L279" s="24">
        <f>+EDITABLE!L297</f>
        <v>45288</v>
      </c>
    </row>
    <row r="280" spans="1:12" x14ac:dyDescent="0.25">
      <c r="A280" s="3" t="str">
        <f>+EDITABLE!A298</f>
        <v>MONILABORATO</v>
      </c>
      <c r="B280" s="6">
        <f>+EDITABLE!B298</f>
        <v>1</v>
      </c>
      <c r="C280" s="3" t="str">
        <f>+EDITABLE!C298</f>
        <v>MONITOR-13</v>
      </c>
      <c r="D280" s="3" t="str">
        <f>+EDITABLE!D298</f>
        <v>NEGRO</v>
      </c>
      <c r="E280" s="3" t="str">
        <f>+EDITABLE!E298</f>
        <v>SAMSUNG</v>
      </c>
      <c r="F280" s="3" t="str">
        <f>+EDITABLE!F298</f>
        <v>S19A10N</v>
      </c>
      <c r="G280" s="5" t="str">
        <f>+EDITABLE!G298</f>
        <v>ZT14H4LC201317M</v>
      </c>
      <c r="H280" s="3" t="str">
        <f>+EDITABLE!H298</f>
        <v>LABORATORIO COMPUTACIÓN</v>
      </c>
      <c r="I280" s="3" t="str">
        <f>+EDITABLE!I298</f>
        <v>BUENO</v>
      </c>
      <c r="J280" s="3" t="str">
        <f>+EDITABLE!J298</f>
        <v>DE 19", CONECCIÓN VGA CON CLABELDE ENERGIA Y DATOS</v>
      </c>
      <c r="K280" s="2">
        <f>+EDITABLE!K298</f>
        <v>60</v>
      </c>
      <c r="L280" s="24">
        <f>+EDITABLE!L298</f>
        <v>45288</v>
      </c>
    </row>
    <row r="281" spans="1:12" x14ac:dyDescent="0.25">
      <c r="A281" s="3" t="str">
        <f>+EDITABLE!A299</f>
        <v>TECLLABORATO</v>
      </c>
      <c r="B281" s="6">
        <f>+EDITABLE!B299</f>
        <v>1</v>
      </c>
      <c r="C281" s="3" t="str">
        <f>+EDITABLE!C299</f>
        <v>TECLADO-13</v>
      </c>
      <c r="D281" s="3" t="str">
        <f>+EDITABLE!D299</f>
        <v>NEGRO</v>
      </c>
      <c r="E281" s="3" t="str">
        <f>+EDITABLE!E299</f>
        <v>GENIUS</v>
      </c>
      <c r="F281" s="3" t="str">
        <f>+EDITABLE!F299</f>
        <v>KB-115</v>
      </c>
      <c r="G281" s="5" t="str">
        <f>+EDITABLE!G299</f>
        <v>UD19M2705688</v>
      </c>
      <c r="H281" s="3" t="str">
        <f>+EDITABLE!H299</f>
        <v>LABORATORIO COMPUTACIÓN</v>
      </c>
      <c r="I281" s="3" t="str">
        <f>+EDITABLE!I299</f>
        <v>BUENO</v>
      </c>
      <c r="J281" s="3" t="str">
        <f>+EDITABLE!J299</f>
        <v>ALAMBRICO, CONECTOR USB, COMPATIBLE PARA JUEGOS, TECLADO NUMÉRICO.</v>
      </c>
      <c r="K281" s="2">
        <f>+EDITABLE!K299</f>
        <v>10</v>
      </c>
      <c r="L281" s="24">
        <f>+EDITABLE!L299</f>
        <v>45288</v>
      </c>
    </row>
    <row r="282" spans="1:12" x14ac:dyDescent="0.25">
      <c r="A282" s="3" t="str">
        <f>+EDITABLE!A300</f>
        <v>MOUSLABORATO</v>
      </c>
      <c r="B282" s="6">
        <f>+EDITABLE!B300</f>
        <v>1</v>
      </c>
      <c r="C282" s="3" t="str">
        <f>+EDITABLE!C300</f>
        <v>MOUSE-13</v>
      </c>
      <c r="D282" s="3" t="str">
        <f>+EDITABLE!D300</f>
        <v>NEGRO/GRIS</v>
      </c>
      <c r="E282" s="3" t="str">
        <f>+EDITABLE!E300</f>
        <v>DELUX</v>
      </c>
      <c r="F282" s="3" t="str">
        <f>+EDITABLE!F300</f>
        <v>M312</v>
      </c>
      <c r="G282" s="5" t="str">
        <f>+EDITABLE!G300</f>
        <v>M3121110062790</v>
      </c>
      <c r="H282" s="3" t="str">
        <f>+EDITABLE!H300</f>
        <v>LABORATORIO COMPUTACIÓN</v>
      </c>
      <c r="I282" s="3" t="str">
        <f>+EDITABLE!I300</f>
        <v>BUENO</v>
      </c>
      <c r="J282" s="3" t="str">
        <f>+EDITABLE!J300</f>
        <v>ALAMBRICO Y LUZ LED, USB</v>
      </c>
      <c r="K282" s="2">
        <f>+EDITABLE!K300</f>
        <v>5</v>
      </c>
      <c r="L282" s="24">
        <f>+EDITABLE!L300</f>
        <v>45288</v>
      </c>
    </row>
    <row r="283" spans="1:12" x14ac:dyDescent="0.25">
      <c r="A283" s="3" t="str">
        <f>+EDITABLE!A301</f>
        <v>CPU-LABORATO</v>
      </c>
      <c r="B283" s="6">
        <f>+EDITABLE!B301</f>
        <v>1</v>
      </c>
      <c r="C283" s="3" t="str">
        <f>+EDITABLE!C301</f>
        <v>CPU-14</v>
      </c>
      <c r="D283" s="3" t="str">
        <f>+EDITABLE!D301</f>
        <v>NEGRO</v>
      </c>
      <c r="E283" s="3" t="str">
        <f>+EDITABLE!E301</f>
        <v>DELUX</v>
      </c>
      <c r="F283" s="3" t="str">
        <f>+EDITABLE!F301</f>
        <v>GENERICO</v>
      </c>
      <c r="G283" s="5" t="str">
        <f>+EDITABLE!G301</f>
        <v>S/S</v>
      </c>
      <c r="H283" s="3" t="str">
        <f>+EDITABLE!H301</f>
        <v>LABORATORIO COMPUTACIÓN</v>
      </c>
      <c r="I283" s="3" t="str">
        <f>+EDITABLE!I301</f>
        <v>BUENO</v>
      </c>
      <c r="J283" s="3" t="str">
        <f>+EDITABLE!J301</f>
        <v>WINDOWS 8.1 INTERPRISE, PROCESADOR: INTEL ® R CORE TM i5-2310 CPU, 2.90 GHZ, RAM 4 GB, 64 BITS, INTERNET ALÁMBRICO</v>
      </c>
      <c r="K283" s="2">
        <f>+EDITABLE!K301</f>
        <v>250</v>
      </c>
      <c r="L283" s="24">
        <f>+EDITABLE!L301</f>
        <v>45288</v>
      </c>
    </row>
    <row r="284" spans="1:12" x14ac:dyDescent="0.25">
      <c r="A284" s="3" t="str">
        <f>+EDITABLE!A302</f>
        <v>MONILABORATO</v>
      </c>
      <c r="B284" s="6">
        <f>+EDITABLE!B302</f>
        <v>1</v>
      </c>
      <c r="C284" s="3" t="str">
        <f>+EDITABLE!C302</f>
        <v>MONITOR-14</v>
      </c>
      <c r="D284" s="3" t="str">
        <f>+EDITABLE!D302</f>
        <v>NEGRO</v>
      </c>
      <c r="E284" s="3" t="str">
        <f>+EDITABLE!E302</f>
        <v>SAMSUNG</v>
      </c>
      <c r="F284" s="3" t="str">
        <f>+EDITABLE!F302</f>
        <v>S19A10N</v>
      </c>
      <c r="G284" s="5" t="str">
        <f>+EDITABLE!G302</f>
        <v>ZT14H4LC400590H</v>
      </c>
      <c r="H284" s="3" t="str">
        <f>+EDITABLE!H302</f>
        <v>LABORATORIO COMPUTACIÓN</v>
      </c>
      <c r="I284" s="3" t="str">
        <f>+EDITABLE!I302</f>
        <v>BUENO</v>
      </c>
      <c r="J284" s="3" t="str">
        <f>+EDITABLE!J302</f>
        <v>DE 19", CONECCIÓN VGA CON CLABELDE ENERGIA Y DATOS</v>
      </c>
      <c r="K284" s="2">
        <f>+EDITABLE!K302</f>
        <v>60</v>
      </c>
      <c r="L284" s="24">
        <f>+EDITABLE!L302</f>
        <v>45288</v>
      </c>
    </row>
    <row r="285" spans="1:12" x14ac:dyDescent="0.25">
      <c r="A285" s="3" t="str">
        <f>+EDITABLE!A303</f>
        <v>TECLLABORATO</v>
      </c>
      <c r="B285" s="6">
        <f>+EDITABLE!B303</f>
        <v>1</v>
      </c>
      <c r="C285" s="3" t="str">
        <f>+EDITABLE!C303</f>
        <v>TECLADO-14</v>
      </c>
      <c r="D285" s="3" t="str">
        <f>+EDITABLE!D303</f>
        <v>NEGRO</v>
      </c>
      <c r="E285" s="3" t="str">
        <f>+EDITABLE!E303</f>
        <v>GENIUS</v>
      </c>
      <c r="F285" s="3" t="str">
        <f>+EDITABLE!F303</f>
        <v>KB-115</v>
      </c>
      <c r="G285" s="5" t="str">
        <f>+EDITABLE!G303</f>
        <v>UD19M2705684</v>
      </c>
      <c r="H285" s="3" t="str">
        <f>+EDITABLE!H303</f>
        <v>LABORATORIO COMPUTACIÓN</v>
      </c>
      <c r="I285" s="3" t="str">
        <f>+EDITABLE!I303</f>
        <v>BUENO</v>
      </c>
      <c r="J285" s="3" t="str">
        <f>+EDITABLE!J303</f>
        <v>ALAMBRICO, CONECTOR USB, COMPATIBLE PARA JUEGOS, TECLADO NUMÉRICO.</v>
      </c>
      <c r="K285" s="2">
        <f>+EDITABLE!K303</f>
        <v>10</v>
      </c>
      <c r="L285" s="24">
        <f>+EDITABLE!L303</f>
        <v>45288</v>
      </c>
    </row>
    <row r="286" spans="1:12" x14ac:dyDescent="0.25">
      <c r="A286" s="3" t="str">
        <f>+EDITABLE!A304</f>
        <v>MOUSLABORATO</v>
      </c>
      <c r="B286" s="6">
        <f>+EDITABLE!B304</f>
        <v>1</v>
      </c>
      <c r="C286" s="3" t="str">
        <f>+EDITABLE!C304</f>
        <v>MOUSE-14</v>
      </c>
      <c r="D286" s="3" t="str">
        <f>+EDITABLE!D304</f>
        <v>NEGRO</v>
      </c>
      <c r="E286" s="3" t="str">
        <f>+EDITABLE!E304</f>
        <v>ALTEK</v>
      </c>
      <c r="F286" s="3" t="str">
        <f>+EDITABLE!F304</f>
        <v>S/M</v>
      </c>
      <c r="G286" s="5" t="str">
        <f>+EDITABLE!G304</f>
        <v>3856130600463</v>
      </c>
      <c r="H286" s="3" t="str">
        <f>+EDITABLE!H304</f>
        <v>LABORATORIO COMPUTACIÓN</v>
      </c>
      <c r="I286" s="3" t="str">
        <f>+EDITABLE!I304</f>
        <v>BUENO</v>
      </c>
      <c r="J286" s="3" t="str">
        <f>+EDITABLE!J304</f>
        <v>ALAMBRICO, LUZ LED, DISEÑO ERGONÍMICO</v>
      </c>
      <c r="K286" s="2">
        <f>+EDITABLE!K304</f>
        <v>6</v>
      </c>
      <c r="L286" s="24">
        <f>+EDITABLE!L304</f>
        <v>45288</v>
      </c>
    </row>
    <row r="287" spans="1:12" x14ac:dyDescent="0.25">
      <c r="A287" s="3" t="str">
        <f>+EDITABLE!A305</f>
        <v>CPU-LABORATO</v>
      </c>
      <c r="B287" s="6">
        <f>+EDITABLE!B305</f>
        <v>1</v>
      </c>
      <c r="C287" s="3" t="str">
        <f>+EDITABLE!C305</f>
        <v>CPU-15</v>
      </c>
      <c r="D287" s="3" t="str">
        <f>+EDITABLE!D305</f>
        <v>NEGRO</v>
      </c>
      <c r="E287" s="3" t="str">
        <f>+EDITABLE!E305</f>
        <v>SION</v>
      </c>
      <c r="F287" s="3" t="str">
        <f>+EDITABLE!F305</f>
        <v>SIONCOREI5SAM20</v>
      </c>
      <c r="G287" s="5">
        <f>+EDITABLE!G305</f>
        <v>81979</v>
      </c>
      <c r="H287" s="3" t="str">
        <f>+EDITABLE!H305</f>
        <v>LABORATORIO COMPUTACIÓN</v>
      </c>
      <c r="I287" s="3" t="str">
        <f>+EDITABLE!I305</f>
        <v>BUENO</v>
      </c>
      <c r="J287" s="3" t="str">
        <f>+EDITABLE!J305</f>
        <v>WINDOWS 8.1 INTERPRISE, PROCESADOR: INTEL ® R CORE TM i5-4460 CPU, 3.20 GHZ, RAM 4 GB, 64 BITS, INTERNET ALÁMBRICO</v>
      </c>
      <c r="K287" s="2">
        <f>+EDITABLE!K305</f>
        <v>250</v>
      </c>
      <c r="L287" s="24">
        <f>+EDITABLE!L305</f>
        <v>45288</v>
      </c>
    </row>
    <row r="288" spans="1:12" x14ac:dyDescent="0.25">
      <c r="A288" s="3" t="str">
        <f>+EDITABLE!A306</f>
        <v>MONILABORATO</v>
      </c>
      <c r="B288" s="6">
        <f>+EDITABLE!B306</f>
        <v>1</v>
      </c>
      <c r="C288" s="3" t="str">
        <f>+EDITABLE!C306</f>
        <v>MONITOR-15</v>
      </c>
      <c r="D288" s="3" t="str">
        <f>+EDITABLE!D306</f>
        <v>NEGRO</v>
      </c>
      <c r="E288" s="3" t="str">
        <f>+EDITABLE!E306</f>
        <v>SAMSUNG</v>
      </c>
      <c r="F288" s="3" t="str">
        <f>+EDITABLE!F306</f>
        <v>S19A10N</v>
      </c>
      <c r="G288" s="5" t="str">
        <f>+EDITABLE!G306</f>
        <v>ZT14H4LC402827D</v>
      </c>
      <c r="H288" s="3" t="str">
        <f>+EDITABLE!H306</f>
        <v>LABORATORIO COMPUTACIÓN</v>
      </c>
      <c r="I288" s="3" t="str">
        <f>+EDITABLE!I306</f>
        <v>BUENO</v>
      </c>
      <c r="J288" s="3" t="str">
        <f>+EDITABLE!J306</f>
        <v>DE 19", CONECCIÓN VGA CON CLABELDE ENERGIA Y DATOS</v>
      </c>
      <c r="K288" s="2">
        <f>+EDITABLE!K306</f>
        <v>60</v>
      </c>
      <c r="L288" s="24">
        <f>+EDITABLE!L306</f>
        <v>45288</v>
      </c>
    </row>
    <row r="289" spans="1:12" x14ac:dyDescent="0.25">
      <c r="A289" s="3" t="str">
        <f>+EDITABLE!A307</f>
        <v>TECLLABORATO</v>
      </c>
      <c r="B289" s="6">
        <f>+EDITABLE!B307</f>
        <v>1</v>
      </c>
      <c r="C289" s="3" t="str">
        <f>+EDITABLE!C307</f>
        <v>TECLADO-15</v>
      </c>
      <c r="D289" s="3" t="str">
        <f>+EDITABLE!D307</f>
        <v>NEGRO</v>
      </c>
      <c r="E289" s="3" t="str">
        <f>+EDITABLE!E307</f>
        <v>DELUX</v>
      </c>
      <c r="F289" s="3" t="str">
        <f>+EDITABLE!F307</f>
        <v>K5015</v>
      </c>
      <c r="G289" s="5" t="str">
        <f>+EDITABLE!G307</f>
        <v>K50151110000106</v>
      </c>
      <c r="H289" s="3" t="str">
        <f>+EDITABLE!H307</f>
        <v>LABORATORIO COMPUTACIÓN</v>
      </c>
      <c r="I289" s="3" t="str">
        <f>+EDITABLE!I307</f>
        <v>BUENO</v>
      </c>
      <c r="J289" s="3" t="str">
        <f>+EDITABLE!J307</f>
        <v>ALAMBRICO, HERGONÓMICO, VARIOS USOS, CONECTOR USB</v>
      </c>
      <c r="K289" s="2">
        <f>+EDITABLE!K307</f>
        <v>17</v>
      </c>
      <c r="L289" s="24">
        <f>+EDITABLE!L307</f>
        <v>45288</v>
      </c>
    </row>
    <row r="290" spans="1:12" x14ac:dyDescent="0.25">
      <c r="A290" s="3" t="str">
        <f>+EDITABLE!A308</f>
        <v>MOUSLABORATO</v>
      </c>
      <c r="B290" s="6">
        <f>+EDITABLE!B308</f>
        <v>1</v>
      </c>
      <c r="C290" s="3" t="str">
        <f>+EDITABLE!C308</f>
        <v>MOUSE-15</v>
      </c>
      <c r="D290" s="3" t="str">
        <f>+EDITABLE!D308</f>
        <v>NEGRO</v>
      </c>
      <c r="E290" s="3" t="str">
        <f>+EDITABLE!E308</f>
        <v>GENIUS</v>
      </c>
      <c r="F290" s="3" t="str">
        <f>+EDITABLE!F308</f>
        <v>DX-160</v>
      </c>
      <c r="G290" s="5" t="str">
        <f>+EDITABLE!G308</f>
        <v>19M2705688</v>
      </c>
      <c r="H290" s="3" t="str">
        <f>+EDITABLE!H308</f>
        <v>LABORATORIO COMPUTACIÓN</v>
      </c>
      <c r="I290" s="3" t="str">
        <f>+EDITABLE!I308</f>
        <v>BUENO</v>
      </c>
      <c r="J290" s="3" t="str">
        <f>+EDITABLE!J308</f>
        <v>ALAMBRICO, LED, DISEÑO ERGONÓMICO</v>
      </c>
      <c r="K290" s="2">
        <f>+EDITABLE!K308</f>
        <v>6</v>
      </c>
      <c r="L290" s="24">
        <f>+EDITABLE!L308</f>
        <v>45288</v>
      </c>
    </row>
    <row r="291" spans="1:12" x14ac:dyDescent="0.25">
      <c r="A291" s="3" t="str">
        <f>+EDITABLE!A309</f>
        <v>CAMALABORATO</v>
      </c>
      <c r="B291" s="6">
        <f>+EDITABLE!B309</f>
        <v>1</v>
      </c>
      <c r="C291" s="3" t="str">
        <f>+EDITABLE!C309</f>
        <v>CAMARA VIDEO VIGILANCIA</v>
      </c>
      <c r="D291" s="3" t="str">
        <f>+EDITABLE!D309</f>
        <v>BLANCO</v>
      </c>
      <c r="E291" s="3" t="str">
        <f>+EDITABLE!E309</f>
        <v>HIKVISION</v>
      </c>
      <c r="F291" s="3" t="str">
        <f>+EDITABLE!F309</f>
        <v>S/M</v>
      </c>
      <c r="G291" s="5" t="str">
        <f>+EDITABLE!G309</f>
        <v>S/S</v>
      </c>
      <c r="H291" s="3" t="str">
        <f>+EDITABLE!H309</f>
        <v>LABORATORIO COMPUTACIÓN</v>
      </c>
      <c r="I291" s="3" t="str">
        <f>+EDITABLE!I309</f>
        <v>BUENO</v>
      </c>
      <c r="J291" s="3" t="str">
        <f>+EDITABLE!J309</f>
        <v>CONECTADA AL DVR Y VISION EN MOVIL Y CUARTO DE RED</v>
      </c>
      <c r="K291" s="2">
        <f>+EDITABLE!K309</f>
        <v>25</v>
      </c>
      <c r="L291" s="24">
        <f>+EDITABLE!L309</f>
        <v>44841</v>
      </c>
    </row>
    <row r="292" spans="1:12" x14ac:dyDescent="0.25">
      <c r="A292" s="3" t="str">
        <f>+EDITABLE!A310</f>
        <v>REGULABORATO</v>
      </c>
      <c r="B292" s="6">
        <f>+EDITABLE!B310</f>
        <v>1</v>
      </c>
      <c r="C292" s="3" t="str">
        <f>+EDITABLE!C310</f>
        <v>REGULADOR-1</v>
      </c>
      <c r="D292" s="3" t="str">
        <f>+EDITABLE!D310</f>
        <v>NEGRO AZUL</v>
      </c>
      <c r="E292" s="3" t="str">
        <f>+EDITABLE!E310</f>
        <v>QUASAD</v>
      </c>
      <c r="F292" s="3" t="str">
        <f>+EDITABLE!F310</f>
        <v>QAVR-1050BL</v>
      </c>
      <c r="G292" s="5" t="str">
        <f>+EDITABLE!G310</f>
        <v>194913332851</v>
      </c>
      <c r="H292" s="3" t="str">
        <f>+EDITABLE!H310</f>
        <v>LABORATORIO COMPUTACIÓN</v>
      </c>
      <c r="I292" s="3" t="str">
        <f>+EDITABLE!I310</f>
        <v>BUENO</v>
      </c>
      <c r="J292" s="3" t="str">
        <f>+EDITABLE!J310</f>
        <v>DE 8 TOMAS</v>
      </c>
      <c r="K292" s="2">
        <f>+EDITABLE!K310</f>
        <v>18</v>
      </c>
      <c r="L292" s="24">
        <f>+EDITABLE!L310</f>
        <v>45288</v>
      </c>
    </row>
    <row r="293" spans="1:12" x14ac:dyDescent="0.25">
      <c r="A293" s="3" t="str">
        <f>+EDITABLE!A311</f>
        <v>REGULABORATO</v>
      </c>
      <c r="B293" s="6">
        <f>+EDITABLE!B311</f>
        <v>1</v>
      </c>
      <c r="C293" s="3" t="str">
        <f>+EDITABLE!C311</f>
        <v>REGULADOR-2</v>
      </c>
      <c r="D293" s="3" t="str">
        <f>+EDITABLE!D311</f>
        <v>NEGRO AZUL</v>
      </c>
      <c r="E293" s="3" t="str">
        <f>+EDITABLE!E311</f>
        <v>QUASAD</v>
      </c>
      <c r="F293" s="3" t="str">
        <f>+EDITABLE!F311</f>
        <v>QAVR-1050BL</v>
      </c>
      <c r="G293" s="5" t="str">
        <f>+EDITABLE!G311</f>
        <v>194913332855</v>
      </c>
      <c r="H293" s="3" t="str">
        <f>+EDITABLE!H311</f>
        <v>LABORATORIO COMPUTACIÓN</v>
      </c>
      <c r="I293" s="3" t="str">
        <f>+EDITABLE!I311</f>
        <v>BUENO</v>
      </c>
      <c r="J293" s="3" t="str">
        <f>+EDITABLE!J311</f>
        <v>DE 8 TOMAS</v>
      </c>
      <c r="K293" s="2">
        <f>+EDITABLE!K311</f>
        <v>18</v>
      </c>
      <c r="L293" s="24">
        <f>+EDITABLE!L311</f>
        <v>45288</v>
      </c>
    </row>
    <row r="294" spans="1:12" x14ac:dyDescent="0.25">
      <c r="A294" s="3" t="str">
        <f>+EDITABLE!A312</f>
        <v>REGULABORATO</v>
      </c>
      <c r="B294" s="6">
        <f>+EDITABLE!B312</f>
        <v>1</v>
      </c>
      <c r="C294" s="3" t="str">
        <f>+EDITABLE!C312</f>
        <v>REGULADOR-3</v>
      </c>
      <c r="D294" s="3" t="str">
        <f>+EDITABLE!D312</f>
        <v>NEGRO VERDE</v>
      </c>
      <c r="E294" s="3" t="str">
        <f>+EDITABLE!E312</f>
        <v>QUASAD</v>
      </c>
      <c r="F294" s="3" t="str">
        <f>+EDITABLE!F312</f>
        <v>QAVR-1050BL</v>
      </c>
      <c r="G294" s="5" t="str">
        <f>+EDITABLE!G312</f>
        <v>194913333582</v>
      </c>
      <c r="H294" s="3" t="str">
        <f>+EDITABLE!H312</f>
        <v>LABORATORIO COMPUTACIÓN</v>
      </c>
      <c r="I294" s="3" t="str">
        <f>+EDITABLE!I312</f>
        <v>BUENO</v>
      </c>
      <c r="J294" s="3" t="str">
        <f>+EDITABLE!J312</f>
        <v>DE 8 TOMAS</v>
      </c>
      <c r="K294" s="2">
        <f>+EDITABLE!K312</f>
        <v>18</v>
      </c>
      <c r="L294" s="24">
        <f>+EDITABLE!L312</f>
        <v>45288</v>
      </c>
    </row>
    <row r="295" spans="1:12" x14ac:dyDescent="0.25">
      <c r="A295" s="3" t="str">
        <f>+EDITABLE!A313</f>
        <v>REGULABORATO</v>
      </c>
      <c r="B295" s="6">
        <f>+EDITABLE!B313</f>
        <v>1</v>
      </c>
      <c r="C295" s="3" t="str">
        <f>+EDITABLE!C313</f>
        <v>REGULADOR-4</v>
      </c>
      <c r="D295" s="3" t="str">
        <f>+EDITABLE!D313</f>
        <v>NEGRO VERDE</v>
      </c>
      <c r="E295" s="3" t="str">
        <f>+EDITABLE!E313</f>
        <v>QUASAD</v>
      </c>
      <c r="F295" s="3" t="str">
        <f>+EDITABLE!F313</f>
        <v>QAVR-1050BL</v>
      </c>
      <c r="G295" s="5" t="str">
        <f>+EDITABLE!G313</f>
        <v>194913333578</v>
      </c>
      <c r="H295" s="3" t="str">
        <f>+EDITABLE!H313</f>
        <v>LABORATORIO COMPUTACIÓN</v>
      </c>
      <c r="I295" s="3" t="str">
        <f>+EDITABLE!I313</f>
        <v>BUENO</v>
      </c>
      <c r="J295" s="3" t="str">
        <f>+EDITABLE!J313</f>
        <v>DE 8 TOMAS</v>
      </c>
      <c r="K295" s="2">
        <f>+EDITABLE!K313</f>
        <v>18</v>
      </c>
      <c r="L295" s="24">
        <f>+EDITABLE!L313</f>
        <v>45288</v>
      </c>
    </row>
    <row r="296" spans="1:12" x14ac:dyDescent="0.25">
      <c r="A296" s="3" t="str">
        <f>+EDITABLE!A314</f>
        <v>REGULABORATO</v>
      </c>
      <c r="B296" s="6">
        <f>+EDITABLE!B314</f>
        <v>1</v>
      </c>
      <c r="C296" s="3" t="str">
        <f>+EDITABLE!C314</f>
        <v>REGULADOR-5</v>
      </c>
      <c r="D296" s="3" t="str">
        <f>+EDITABLE!D314</f>
        <v>NEGRO AMARILLO</v>
      </c>
      <c r="E296" s="3" t="str">
        <f>+EDITABLE!E314</f>
        <v>QUASAD</v>
      </c>
      <c r="F296" s="3" t="str">
        <f>+EDITABLE!F314</f>
        <v>QAVR-1050BL</v>
      </c>
      <c r="G296" s="5" t="str">
        <f>+EDITABLE!G314</f>
        <v>194913334061</v>
      </c>
      <c r="H296" s="3" t="str">
        <f>+EDITABLE!H314</f>
        <v>LABORATORIO COMPUTACIÓN</v>
      </c>
      <c r="I296" s="3" t="str">
        <f>+EDITABLE!I314</f>
        <v>BUENO</v>
      </c>
      <c r="J296" s="3" t="str">
        <f>+EDITABLE!J314</f>
        <v>DE 8 TOMAS</v>
      </c>
      <c r="K296" s="2">
        <f>+EDITABLE!K314</f>
        <v>18</v>
      </c>
      <c r="L296" s="24">
        <f>+EDITABLE!L314</f>
        <v>45288</v>
      </c>
    </row>
    <row r="297" spans="1:12" x14ac:dyDescent="0.25">
      <c r="A297" s="3" t="str">
        <f>+EDITABLE!A315</f>
        <v>REGULABORATO</v>
      </c>
      <c r="B297" s="6">
        <f>+EDITABLE!B315</f>
        <v>1</v>
      </c>
      <c r="C297" s="3" t="str">
        <f>+EDITABLE!C315</f>
        <v>REGULADOR-6</v>
      </c>
      <c r="D297" s="3" t="str">
        <f>+EDITABLE!D315</f>
        <v>NEGRO AZUL</v>
      </c>
      <c r="E297" s="3" t="str">
        <f>+EDITABLE!E315</f>
        <v>QUASAD</v>
      </c>
      <c r="F297" s="3" t="str">
        <f>+EDITABLE!F315</f>
        <v>QAVR-1050BL</v>
      </c>
      <c r="G297" s="5" t="str">
        <f>+EDITABLE!G315</f>
        <v>194913332848</v>
      </c>
      <c r="H297" s="3" t="str">
        <f>+EDITABLE!H315</f>
        <v>LABORATORIO COMPUTACIÓN</v>
      </c>
      <c r="I297" s="3" t="str">
        <f>+EDITABLE!I315</f>
        <v>BUENO</v>
      </c>
      <c r="J297" s="3" t="str">
        <f>+EDITABLE!J315</f>
        <v>DE 8 TOMAS</v>
      </c>
      <c r="K297" s="2">
        <f>+EDITABLE!K315</f>
        <v>18</v>
      </c>
      <c r="L297" s="24">
        <f>+EDITABLE!L315</f>
        <v>45288</v>
      </c>
    </row>
    <row r="298" spans="1:12" x14ac:dyDescent="0.25">
      <c r="A298" s="3" t="str">
        <f>+EDITABLE!A316</f>
        <v>REGULABORATO</v>
      </c>
      <c r="B298" s="6">
        <f>+EDITABLE!B316</f>
        <v>1</v>
      </c>
      <c r="C298" s="3" t="str">
        <f>+EDITABLE!C316</f>
        <v>REGULADOR-7</v>
      </c>
      <c r="D298" s="3" t="str">
        <f>+EDITABLE!D316</f>
        <v>NEGRO AMARILLO</v>
      </c>
      <c r="E298" s="3" t="str">
        <f>+EDITABLE!E316</f>
        <v>QUASAD</v>
      </c>
      <c r="F298" s="3" t="str">
        <f>+EDITABLE!F316</f>
        <v>QAVR-1050BL</v>
      </c>
      <c r="G298" s="5" t="str">
        <f>+EDITABLE!G316</f>
        <v>194913334066</v>
      </c>
      <c r="H298" s="3" t="str">
        <f>+EDITABLE!H316</f>
        <v>LABORATORIO COMPUTACIÓN</v>
      </c>
      <c r="I298" s="3" t="str">
        <f>+EDITABLE!I316</f>
        <v>BUENO</v>
      </c>
      <c r="J298" s="3" t="str">
        <f>+EDITABLE!J316</f>
        <v>DE 8 TOMAS</v>
      </c>
      <c r="K298" s="2">
        <f>+EDITABLE!K316</f>
        <v>18</v>
      </c>
      <c r="L298" s="24">
        <f>+EDITABLE!L316</f>
        <v>45288</v>
      </c>
    </row>
    <row r="299" spans="1:12" x14ac:dyDescent="0.25">
      <c r="A299" s="3" t="str">
        <f>+EDITABLE!A317</f>
        <v>REGULABORATO</v>
      </c>
      <c r="B299" s="6">
        <f>+EDITABLE!B317</f>
        <v>1</v>
      </c>
      <c r="C299" s="3" t="str">
        <f>+EDITABLE!C317</f>
        <v>REGULADOR-8</v>
      </c>
      <c r="D299" s="3" t="str">
        <f>+EDITABLE!D317</f>
        <v>NEGRO AZUL</v>
      </c>
      <c r="E299" s="3" t="str">
        <f>+EDITABLE!E317</f>
        <v>QUASAD</v>
      </c>
      <c r="F299" s="3" t="str">
        <f>+EDITABLE!F317</f>
        <v>QAVR-1050BL</v>
      </c>
      <c r="G299" s="5" t="str">
        <f>+EDITABLE!G317</f>
        <v>194913332847</v>
      </c>
      <c r="H299" s="3" t="str">
        <f>+EDITABLE!H317</f>
        <v>LABORATORIO COMPUTACIÓN</v>
      </c>
      <c r="I299" s="3" t="str">
        <f>+EDITABLE!I317</f>
        <v>BUENO</v>
      </c>
      <c r="J299" s="3" t="str">
        <f>+EDITABLE!J317</f>
        <v>DE 8 TOMAS</v>
      </c>
      <c r="K299" s="2">
        <f>+EDITABLE!K317</f>
        <v>18</v>
      </c>
      <c r="L299" s="24">
        <f>+EDITABLE!L317</f>
        <v>45288</v>
      </c>
    </row>
    <row r="300" spans="1:12" x14ac:dyDescent="0.25">
      <c r="A300" s="3" t="str">
        <f>+EDITABLE!A318</f>
        <v>PROYLABORATO</v>
      </c>
      <c r="B300" s="6">
        <f>+EDITABLE!B318</f>
        <v>1</v>
      </c>
      <c r="C300" s="3" t="str">
        <f>+EDITABLE!C318</f>
        <v>PROYECTOR</v>
      </c>
      <c r="D300" s="3" t="str">
        <f>+EDITABLE!D318</f>
        <v>NEGRO</v>
      </c>
      <c r="E300" s="3" t="str">
        <f>+EDITABLE!E318</f>
        <v>EPSON</v>
      </c>
      <c r="F300" s="3" t="str">
        <f>+EDITABLE!F318</f>
        <v>POWER LITE S12+</v>
      </c>
      <c r="G300" s="5" t="str">
        <f>+EDITABLE!G318</f>
        <v>PSPK3401963</v>
      </c>
      <c r="H300" s="3" t="str">
        <f>+EDITABLE!H318</f>
        <v>LABORATORIO COMPUTACIÓN</v>
      </c>
      <c r="I300" s="3" t="str">
        <f>+EDITABLE!I318</f>
        <v>BUENO</v>
      </c>
      <c r="J300" s="3" t="str">
        <f>+EDITABLE!J318</f>
        <v>CON PEDESTAL, CABLE VGA DE 15 m. Y CABLE DE ENERGIA</v>
      </c>
      <c r="K300" s="2">
        <f>+EDITABLE!K318</f>
        <v>400</v>
      </c>
      <c r="L300" s="24">
        <f>+EDITABLE!L318</f>
        <v>45288</v>
      </c>
    </row>
    <row r="301" spans="1:12" x14ac:dyDescent="0.25">
      <c r="A301" s="3" t="str">
        <f>+EDITABLE!A319</f>
        <v>PARLLABORATO</v>
      </c>
      <c r="B301" s="6">
        <f>+EDITABLE!B319</f>
        <v>1</v>
      </c>
      <c r="C301" s="3" t="str">
        <f>+EDITABLE!C319</f>
        <v>PARLANTES</v>
      </c>
      <c r="D301" s="3" t="str">
        <f>+EDITABLE!D319</f>
        <v>NEGRO</v>
      </c>
      <c r="E301" s="3" t="str">
        <f>+EDITABLE!E319</f>
        <v>KLIP EXTREME</v>
      </c>
      <c r="F301" s="3" t="str">
        <f>+EDITABLE!F319</f>
        <v>KSS-710</v>
      </c>
      <c r="G301" s="5">
        <f>+EDITABLE!G319</f>
        <v>130302753</v>
      </c>
      <c r="H301" s="3" t="str">
        <f>+EDITABLE!H319</f>
        <v>LABORATORIO COMPUTACIÓN</v>
      </c>
      <c r="I301" s="3" t="str">
        <f>+EDITABLE!I319</f>
        <v>BUENO</v>
      </c>
      <c r="J301" s="3" t="str">
        <f>+EDITABLE!J319</f>
        <v>CON SOPORTE AEREO, CABLE DE SONIO DE 20 m. Y CABLE DE ENERGIA</v>
      </c>
      <c r="K301" s="2">
        <f>+EDITABLE!K319</f>
        <v>103</v>
      </c>
      <c r="L301" s="24">
        <f>+EDITABLE!L319</f>
        <v>45288</v>
      </c>
    </row>
    <row r="302" spans="1:12" x14ac:dyDescent="0.25">
      <c r="A302" s="3" t="str">
        <f>+EDITABLE!A320</f>
        <v>SENSLABORATO</v>
      </c>
      <c r="B302" s="6">
        <f>+EDITABLE!B320</f>
        <v>1</v>
      </c>
      <c r="C302" s="3" t="str">
        <f>+EDITABLE!C320</f>
        <v>SENSOR DE ALARMA</v>
      </c>
      <c r="D302" s="3" t="str">
        <f>+EDITABLE!D320</f>
        <v>BLANCO</v>
      </c>
      <c r="E302" s="3" t="str">
        <f>+EDITABLE!E320</f>
        <v>DSC</v>
      </c>
      <c r="F302" s="3" t="str">
        <f>+EDITABLE!F320</f>
        <v>LC-100PI</v>
      </c>
      <c r="G302" s="5">
        <f>+EDITABLE!G320</f>
        <v>88030080</v>
      </c>
      <c r="H302" s="3" t="str">
        <f>+EDITABLE!H320</f>
        <v>LABORATORIO COMPUTACIÓN</v>
      </c>
      <c r="I302" s="3" t="str">
        <f>+EDITABLE!I320</f>
        <v>BUENO</v>
      </c>
      <c r="J302" s="3" t="str">
        <f>+EDITABLE!J320</f>
        <v>CONECTADA AL SISTEMA DE ALARMAS</v>
      </c>
      <c r="K302" s="2">
        <f>+EDITABLE!K320</f>
        <v>20</v>
      </c>
      <c r="L302" s="24">
        <f>+EDITABLE!L320</f>
        <v>44841</v>
      </c>
    </row>
    <row r="303" spans="1:12" x14ac:dyDescent="0.25">
      <c r="A303" s="3" t="str">
        <f>+EDITABLE!A321</f>
        <v>SENSLABORATO</v>
      </c>
      <c r="B303" s="6">
        <f>+EDITABLE!B321</f>
        <v>1</v>
      </c>
      <c r="C303" s="3" t="str">
        <f>+EDITABLE!C321</f>
        <v>SENSOR DE ALARMA</v>
      </c>
      <c r="D303" s="3" t="str">
        <f>+EDITABLE!D321</f>
        <v>BLANCO</v>
      </c>
      <c r="E303" s="3" t="str">
        <f>+EDITABLE!E321</f>
        <v>DSC</v>
      </c>
      <c r="F303" s="3" t="str">
        <f>+EDITABLE!F321</f>
        <v>LC-100PI</v>
      </c>
      <c r="G303" s="5">
        <f>+EDITABLE!G321</f>
        <v>88030080</v>
      </c>
      <c r="H303" s="3" t="str">
        <f>+EDITABLE!H321</f>
        <v>LABORATORIO COMPUTACIÓN</v>
      </c>
      <c r="I303" s="3" t="str">
        <f>+EDITABLE!I321</f>
        <v>BUENO</v>
      </c>
      <c r="J303" s="3" t="str">
        <f>+EDITABLE!J321</f>
        <v>CONECTADA AL SISTEMA DE ALARMAS</v>
      </c>
      <c r="K303" s="2">
        <f>+EDITABLE!K321</f>
        <v>20</v>
      </c>
      <c r="L303" s="24">
        <f>+EDITABLE!L321</f>
        <v>44841</v>
      </c>
    </row>
    <row r="304" spans="1:12" x14ac:dyDescent="0.25">
      <c r="A304" s="3" t="str">
        <f>+EDITABLE!A322</f>
        <v/>
      </c>
      <c r="B304" s="6">
        <f>+EDITABLE!B322</f>
        <v>0</v>
      </c>
      <c r="C304" s="3">
        <f>+EDITABLE!C322</f>
        <v>0</v>
      </c>
      <c r="D304" s="3">
        <f>+EDITABLE!D322</f>
        <v>0</v>
      </c>
      <c r="E304" s="3">
        <f>+EDITABLE!E322</f>
        <v>0</v>
      </c>
      <c r="F304" s="3">
        <f>+EDITABLE!F322</f>
        <v>0</v>
      </c>
      <c r="G304" s="5">
        <f>+EDITABLE!G322</f>
        <v>0</v>
      </c>
      <c r="H304" s="3">
        <f>+EDITABLE!H322</f>
        <v>0</v>
      </c>
      <c r="I304" s="3">
        <f>+EDITABLE!I322</f>
        <v>0</v>
      </c>
      <c r="J304" s="3">
        <f>+EDITABLE!J322</f>
        <v>0</v>
      </c>
      <c r="K304" s="2">
        <f>+EDITABLE!K322</f>
        <v>0</v>
      </c>
      <c r="L304" s="24">
        <f>+EDITABLE!L322</f>
        <v>0</v>
      </c>
    </row>
    <row r="305" spans="1:13" x14ac:dyDescent="0.25">
      <c r="A305" s="3"/>
      <c r="B305" s="6">
        <f>+EDITABLE!B323</f>
        <v>0</v>
      </c>
      <c r="C305" s="3">
        <f>+EDITABLE!C323</f>
        <v>0</v>
      </c>
      <c r="D305" s="3">
        <f>+EDITABLE!D323</f>
        <v>0</v>
      </c>
      <c r="E305" s="3">
        <f>+EDITABLE!E323</f>
        <v>0</v>
      </c>
      <c r="F305" s="3">
        <f>+EDITABLE!F323</f>
        <v>0</v>
      </c>
      <c r="G305" s="5">
        <f>+EDITABLE!G323</f>
        <v>0</v>
      </c>
      <c r="H305" s="3">
        <f>+EDITABLE!H323</f>
        <v>0</v>
      </c>
      <c r="I305" s="3">
        <f>+EDITABLE!I323</f>
        <v>0</v>
      </c>
      <c r="J305" s="3">
        <f>+EDITABLE!J323</f>
        <v>0</v>
      </c>
      <c r="K305" s="2">
        <f>+EDITABLE!K323</f>
        <v>0</v>
      </c>
      <c r="L305" s="24">
        <f>+EDITABLE!L323</f>
        <v>0</v>
      </c>
    </row>
    <row r="306" spans="1:13" x14ac:dyDescent="0.25">
      <c r="A306" s="3" t="str">
        <f>+EDITABLE!A323</f>
        <v/>
      </c>
      <c r="B306" s="6">
        <f>+EDITABLE!B324</f>
        <v>0</v>
      </c>
      <c r="C306" s="3">
        <f>+EDITABLE!C324</f>
        <v>0</v>
      </c>
      <c r="D306" s="3">
        <f>+EDITABLE!D324</f>
        <v>0</v>
      </c>
      <c r="E306" s="3">
        <f>+EDITABLE!E324</f>
        <v>0</v>
      </c>
      <c r="F306" s="3">
        <f>+EDITABLE!F324</f>
        <v>0</v>
      </c>
      <c r="G306" s="5">
        <f>+EDITABLE!G324</f>
        <v>0</v>
      </c>
      <c r="H306" s="3">
        <f>+EDITABLE!H324</f>
        <v>0</v>
      </c>
      <c r="I306" s="3">
        <f>+EDITABLE!I324</f>
        <v>0</v>
      </c>
      <c r="J306" s="3">
        <f>+EDITABLE!J324</f>
        <v>0</v>
      </c>
      <c r="K306" s="2">
        <f>+EDITABLE!K324</f>
        <v>0</v>
      </c>
      <c r="L306" s="24">
        <f>+EDITABLE!L324</f>
        <v>0</v>
      </c>
    </row>
    <row r="307" spans="1:13" x14ac:dyDescent="0.25">
      <c r="A307" s="3" t="str">
        <f>+EDITABLE!A326</f>
        <v>LÁMPPATIO</v>
      </c>
      <c r="B307" s="6">
        <f>+EDITABLE!B326</f>
        <v>1</v>
      </c>
      <c r="C307" s="3" t="str">
        <f>+EDITABLE!C326</f>
        <v>LÁMPARA DE EMERGENCIA</v>
      </c>
      <c r="D307" s="3" t="str">
        <f>+EDITABLE!D326</f>
        <v>BLANCO</v>
      </c>
      <c r="E307" s="3" t="str">
        <f>+EDITABLE!E326</f>
        <v>SIYLVIANA</v>
      </c>
      <c r="F307" s="3" t="str">
        <f>+EDITABLE!F326</f>
        <v>S/M</v>
      </c>
      <c r="G307" s="5" t="str">
        <f>+EDITABLE!G326</f>
        <v>S/S</v>
      </c>
      <c r="H307" s="3" t="str">
        <f>+EDITABLE!H326</f>
        <v>PATIO</v>
      </c>
      <c r="I307" s="3" t="str">
        <f>+EDITABLE!I326</f>
        <v>BUENO</v>
      </c>
      <c r="J307" s="3" t="str">
        <f>+EDITABLE!J326</f>
        <v>LUNINARIA DE EMERGENCIA R-1 MINI, FACIL DE MANTENIMIENTO. -DISEÑO COMPACTO CHASIS TERMOPLÁSTICO RETARDANTE AL FUEGO.  -LUZ LED.</v>
      </c>
      <c r="K307" s="2">
        <f>+EDITABLE!K326</f>
        <v>25</v>
      </c>
      <c r="L307" s="24">
        <f>+EDITABLE!L326</f>
        <v>44292</v>
      </c>
      <c r="M307">
        <v>20</v>
      </c>
    </row>
    <row r="308" spans="1:13" x14ac:dyDescent="0.25">
      <c r="A308" s="3" t="str">
        <f>+EDITABLE!A327</f>
        <v>CAMAPATIO</v>
      </c>
      <c r="B308" s="6">
        <f>+EDITABLE!B327</f>
        <v>1</v>
      </c>
      <c r="C308" s="3" t="str">
        <f>+EDITABLE!C327</f>
        <v>CAMARA VIDEO VIGILANCIA</v>
      </c>
      <c r="D308" s="3" t="str">
        <f>+EDITABLE!D327</f>
        <v>BLANCO</v>
      </c>
      <c r="E308" s="3" t="str">
        <f>+EDITABLE!E327</f>
        <v>SMARTLIFE</v>
      </c>
      <c r="F308" s="3" t="str">
        <f>+EDITABLE!F327</f>
        <v>S/M</v>
      </c>
      <c r="G308" s="5" t="str">
        <f>+EDITABLE!G327</f>
        <v>S/S</v>
      </c>
      <c r="H308" s="3" t="str">
        <f>+EDITABLE!H327</f>
        <v>PATIO</v>
      </c>
      <c r="I308" s="3" t="str">
        <f>+EDITABLE!I327</f>
        <v>BUENO</v>
      </c>
      <c r="J308" s="3" t="str">
        <f>+EDITABLE!J327</f>
        <v>VISION EN MOVIL GIRATORIA</v>
      </c>
      <c r="K308" s="2">
        <f>+EDITABLE!K327</f>
        <v>25</v>
      </c>
      <c r="L308" s="24">
        <f>+EDITABLE!L327</f>
        <v>44841</v>
      </c>
    </row>
    <row r="309" spans="1:13" x14ac:dyDescent="0.25">
      <c r="A309" s="3" t="str">
        <f>+EDITABLE!A328</f>
        <v>CAMAPATIO</v>
      </c>
      <c r="B309" s="6">
        <f>+EDITABLE!B328</f>
        <v>1</v>
      </c>
      <c r="C309" s="3" t="str">
        <f>+EDITABLE!C328</f>
        <v>CAMARA VIDEO VIGILANCIA</v>
      </c>
      <c r="D309" s="3" t="str">
        <f>+EDITABLE!D328</f>
        <v>BLANCO</v>
      </c>
      <c r="E309" s="3" t="str">
        <f>+EDITABLE!E328</f>
        <v>HILOOK</v>
      </c>
      <c r="F309" s="3" t="str">
        <f>+EDITABLE!F328</f>
        <v>S/M</v>
      </c>
      <c r="G309" s="5" t="str">
        <f>+EDITABLE!G328</f>
        <v>S/S</v>
      </c>
      <c r="H309" s="3" t="str">
        <f>+EDITABLE!H328</f>
        <v>PATIO</v>
      </c>
      <c r="I309" s="3" t="str">
        <f>+EDITABLE!I328</f>
        <v>BUENO</v>
      </c>
      <c r="J309" s="3" t="str">
        <f>+EDITABLE!J328</f>
        <v>CONECTADA AL DVR Y VISION EN MOVIL Y CUARTO DE RED</v>
      </c>
      <c r="K309" s="2">
        <f>+EDITABLE!K328</f>
        <v>25</v>
      </c>
      <c r="L309" s="24">
        <f>+EDITABLE!L328</f>
        <v>44841</v>
      </c>
    </row>
    <row r="310" spans="1:13" x14ac:dyDescent="0.25">
      <c r="A310" s="3" t="str">
        <f>+EDITABLE!A329</f>
        <v>CAMAPATIO</v>
      </c>
      <c r="B310" s="6">
        <f>+EDITABLE!B329</f>
        <v>1</v>
      </c>
      <c r="C310" s="3" t="str">
        <f>+EDITABLE!C329</f>
        <v>CAMARA VIDEO VIGILANCIA</v>
      </c>
      <c r="D310" s="3" t="str">
        <f>+EDITABLE!D329</f>
        <v>BLANCO</v>
      </c>
      <c r="E310" s="3" t="str">
        <f>+EDITABLE!E329</f>
        <v>HIKVISION</v>
      </c>
      <c r="F310" s="3" t="str">
        <f>+EDITABLE!F329</f>
        <v>S/M</v>
      </c>
      <c r="G310" s="5" t="str">
        <f>+EDITABLE!G329</f>
        <v>S/S</v>
      </c>
      <c r="H310" s="3" t="str">
        <f>+EDITABLE!H329</f>
        <v>PATIO</v>
      </c>
      <c r="I310" s="3" t="str">
        <f>+EDITABLE!I329</f>
        <v>BUENO</v>
      </c>
      <c r="J310" s="3" t="str">
        <f>+EDITABLE!J329</f>
        <v>CONECTADA AL DVR Y VISION EN MOVIL Y CUARTO DE RED</v>
      </c>
      <c r="K310" s="2">
        <f>+EDITABLE!K329</f>
        <v>25</v>
      </c>
      <c r="L310" s="24">
        <f>+EDITABLE!L329</f>
        <v>44841</v>
      </c>
    </row>
    <row r="311" spans="1:13" x14ac:dyDescent="0.25">
      <c r="A311" s="3" t="str">
        <f>+EDITABLE!A330</f>
        <v>CAMAPATIO</v>
      </c>
      <c r="B311" s="6">
        <f>+EDITABLE!B330</f>
        <v>1</v>
      </c>
      <c r="C311" s="3" t="str">
        <f>+EDITABLE!C330</f>
        <v>CAMARA VIDEO VIGILANCIA</v>
      </c>
      <c r="D311" s="3" t="str">
        <f>+EDITABLE!D330</f>
        <v>BLANCO</v>
      </c>
      <c r="E311" s="3" t="str">
        <f>+EDITABLE!E330</f>
        <v>HIKVISION</v>
      </c>
      <c r="F311" s="3" t="str">
        <f>+EDITABLE!F330</f>
        <v>S/M</v>
      </c>
      <c r="G311" s="5" t="str">
        <f>+EDITABLE!G330</f>
        <v>S/S</v>
      </c>
      <c r="H311" s="3" t="str">
        <f>+EDITABLE!H330</f>
        <v>PATIO</v>
      </c>
      <c r="I311" s="3" t="str">
        <f>+EDITABLE!I330</f>
        <v>BUENO</v>
      </c>
      <c r="J311" s="3" t="str">
        <f>+EDITABLE!J330</f>
        <v>CONECTADA AL DVR Y VISION EN MOVIL Y CUARTO DE RED</v>
      </c>
      <c r="K311" s="2">
        <f>+EDITABLE!K330</f>
        <v>25</v>
      </c>
      <c r="L311" s="24">
        <f>+EDITABLE!L330</f>
        <v>44841</v>
      </c>
    </row>
    <row r="312" spans="1:13" x14ac:dyDescent="0.25">
      <c r="A312" s="3" t="str">
        <f>+EDITABLE!A331</f>
        <v>LÁMPPATIO</v>
      </c>
      <c r="B312" s="6">
        <f>+EDITABLE!B331</f>
        <v>1</v>
      </c>
      <c r="C312" s="3" t="str">
        <f>+EDITABLE!C331</f>
        <v>LÁMPARA DE EMERGENCIA</v>
      </c>
      <c r="D312" s="3" t="str">
        <f>+EDITABLE!D331</f>
        <v>BLANCO</v>
      </c>
      <c r="E312" s="3" t="str">
        <f>+EDITABLE!E331</f>
        <v>SIYLVIANA</v>
      </c>
      <c r="F312" s="3" t="str">
        <f>+EDITABLE!F331</f>
        <v>S/M</v>
      </c>
      <c r="G312" s="5" t="str">
        <f>+EDITABLE!G331</f>
        <v>S/S</v>
      </c>
      <c r="H312" s="3" t="str">
        <f>+EDITABLE!H331</f>
        <v>PATIO</v>
      </c>
      <c r="I312" s="3" t="str">
        <f>+EDITABLE!I331</f>
        <v>BUENO</v>
      </c>
      <c r="J312" s="3" t="str">
        <f>+EDITABLE!J331</f>
        <v>LUNINARIA DE EMERGENCIA R-1 MINI, FACIL DE MANTENIMIENTO. -DISEÑO COMPACTO CHASIS TERMOPLÁSTICO RETARDANTE AL FUEGO.  -LUZ LED.</v>
      </c>
      <c r="K312" s="2">
        <f>+EDITABLE!K331</f>
        <v>25</v>
      </c>
      <c r="L312" s="24">
        <f>+EDITABLE!L331</f>
        <v>44292</v>
      </c>
    </row>
    <row r="313" spans="1:13" x14ac:dyDescent="0.25">
      <c r="A313" s="3" t="str">
        <f>+EDITABLE!A332</f>
        <v>CAMAPATIO</v>
      </c>
      <c r="B313" s="6">
        <f>+EDITABLE!B332</f>
        <v>1</v>
      </c>
      <c r="C313" s="3" t="str">
        <f>+EDITABLE!C332</f>
        <v>CAMARA VIDEO VIGILANCIA</v>
      </c>
      <c r="D313" s="3" t="str">
        <f>+EDITABLE!D332</f>
        <v>BLANCO</v>
      </c>
      <c r="E313" s="3" t="str">
        <f>+EDITABLE!E332</f>
        <v>HILOOK</v>
      </c>
      <c r="F313" s="3" t="str">
        <f>+EDITABLE!F332</f>
        <v>S/M</v>
      </c>
      <c r="G313" s="5" t="str">
        <f>+EDITABLE!G332</f>
        <v>S/S</v>
      </c>
      <c r="H313" s="3" t="str">
        <f>+EDITABLE!H332</f>
        <v>PATIO</v>
      </c>
      <c r="I313" s="3" t="str">
        <f>+EDITABLE!I332</f>
        <v>BUENO</v>
      </c>
      <c r="J313" s="3" t="str">
        <f>+EDITABLE!J332</f>
        <v>CONECTADA AL DVR Y VISION EN MOVIL Y CUARTO DE RED</v>
      </c>
      <c r="K313" s="2">
        <f>+EDITABLE!K332</f>
        <v>25</v>
      </c>
      <c r="L313" s="24">
        <f>+EDITABLE!L332</f>
        <v>44841</v>
      </c>
    </row>
    <row r="314" spans="1:13" x14ac:dyDescent="0.25">
      <c r="A314" s="3" t="str">
        <f>+EDITABLE!A333</f>
        <v/>
      </c>
      <c r="B314" s="6">
        <f>+EDITABLE!B333</f>
        <v>0</v>
      </c>
      <c r="C314" s="3">
        <f>+EDITABLE!C333</f>
        <v>0</v>
      </c>
      <c r="D314" s="3">
        <f>+EDITABLE!D333</f>
        <v>0</v>
      </c>
      <c r="E314" s="3">
        <f>+EDITABLE!E333</f>
        <v>0</v>
      </c>
      <c r="F314" s="3">
        <f>+EDITABLE!F333</f>
        <v>0</v>
      </c>
      <c r="G314" s="5">
        <f>+EDITABLE!G333</f>
        <v>0</v>
      </c>
      <c r="H314" s="3">
        <f>+EDITABLE!H333</f>
        <v>0</v>
      </c>
      <c r="I314" s="3">
        <f>+EDITABLE!I333</f>
        <v>0</v>
      </c>
      <c r="J314" s="3">
        <f>+EDITABLE!J333</f>
        <v>0</v>
      </c>
      <c r="K314" s="2">
        <f>+EDITABLE!K333</f>
        <v>0</v>
      </c>
      <c r="L314" s="24">
        <f>+EDITABLE!L333</f>
        <v>0</v>
      </c>
    </row>
    <row r="315" spans="1:13" x14ac:dyDescent="0.25">
      <c r="A315" s="3"/>
      <c r="B315" s="6">
        <f>+EDITABLE!B334</f>
        <v>0</v>
      </c>
      <c r="C315" s="3">
        <f>+EDITABLE!C334</f>
        <v>0</v>
      </c>
      <c r="D315" s="3">
        <f>+EDITABLE!D334</f>
        <v>0</v>
      </c>
      <c r="E315" s="3">
        <f>+EDITABLE!E334</f>
        <v>0</v>
      </c>
      <c r="F315" s="3">
        <f>+EDITABLE!F334</f>
        <v>0</v>
      </c>
      <c r="G315" s="5">
        <f>+EDITABLE!G334</f>
        <v>0</v>
      </c>
      <c r="H315" s="3">
        <f>+EDITABLE!H334</f>
        <v>0</v>
      </c>
      <c r="I315" s="3">
        <f>+EDITABLE!I334</f>
        <v>0</v>
      </c>
      <c r="J315" s="3">
        <f>+EDITABLE!J334</f>
        <v>0</v>
      </c>
      <c r="K315" s="2">
        <f>+EDITABLE!K334</f>
        <v>0</v>
      </c>
      <c r="L315" s="24">
        <f>+EDITABLE!L334</f>
        <v>0</v>
      </c>
    </row>
    <row r="316" spans="1:13" x14ac:dyDescent="0.25">
      <c r="A316" s="3" t="str">
        <f>+EDITABLE!A334</f>
        <v/>
      </c>
      <c r="B316" s="6">
        <f>+EDITABLE!B335</f>
        <v>0</v>
      </c>
      <c r="C316" s="3">
        <f>+EDITABLE!C335</f>
        <v>0</v>
      </c>
      <c r="D316" s="3">
        <f>+EDITABLE!D335</f>
        <v>0</v>
      </c>
      <c r="E316" s="3">
        <f>+EDITABLE!E335</f>
        <v>0</v>
      </c>
      <c r="F316" s="3">
        <f>+EDITABLE!F335</f>
        <v>0</v>
      </c>
      <c r="G316" s="5">
        <f>+EDITABLE!G335</f>
        <v>0</v>
      </c>
      <c r="H316" s="3">
        <f>+EDITABLE!H335</f>
        <v>0</v>
      </c>
      <c r="I316" s="3">
        <f>+EDITABLE!I335</f>
        <v>0</v>
      </c>
      <c r="J316" s="3">
        <f>+EDITABLE!J335</f>
        <v>0</v>
      </c>
      <c r="K316" s="2">
        <f>+EDITABLE!K335</f>
        <v>0</v>
      </c>
      <c r="L316" s="24">
        <f>+EDITABLE!L335</f>
        <v>0</v>
      </c>
    </row>
    <row r="317" spans="1:13" x14ac:dyDescent="0.25">
      <c r="A317" s="3" t="str">
        <f>+EDITABLE!A337</f>
        <v>CAMACALLE PR</v>
      </c>
      <c r="B317" s="6">
        <f>+EDITABLE!B337</f>
        <v>1</v>
      </c>
      <c r="C317" s="3" t="str">
        <f>+EDITABLE!C337</f>
        <v>CAMARA VIDEO VIGILANCIA</v>
      </c>
      <c r="D317" s="3" t="str">
        <f>+EDITABLE!D337</f>
        <v>BLANCO</v>
      </c>
      <c r="E317" s="3" t="str">
        <f>+EDITABLE!E337</f>
        <v>HIKVISION</v>
      </c>
      <c r="F317" s="3" t="str">
        <f>+EDITABLE!F337</f>
        <v>S/M</v>
      </c>
      <c r="G317" s="5" t="str">
        <f>+EDITABLE!G337</f>
        <v>S/S</v>
      </c>
      <c r="H317" s="3" t="str">
        <f>+EDITABLE!H337</f>
        <v>CALLE PRINCIPAL</v>
      </c>
      <c r="I317" s="3" t="str">
        <f>+EDITABLE!I337</f>
        <v>BUENO</v>
      </c>
      <c r="J317" s="3" t="str">
        <f>+EDITABLE!J337</f>
        <v>CONECTADA AL DVR Y VISION EN MOVIL Y CUARTO DE RED</v>
      </c>
      <c r="K317" s="2">
        <f>+EDITABLE!K337</f>
        <v>25</v>
      </c>
      <c r="L317" s="24">
        <f>+EDITABLE!L337</f>
        <v>44841</v>
      </c>
      <c r="M317">
        <v>21</v>
      </c>
    </row>
    <row r="318" spans="1:13" x14ac:dyDescent="0.25">
      <c r="A318" s="3">
        <f>+EDITABLE!A338</f>
        <v>0</v>
      </c>
      <c r="B318" s="6">
        <f>+EDITABLE!B338</f>
        <v>0</v>
      </c>
      <c r="C318" s="3">
        <f>+EDITABLE!C338</f>
        <v>0</v>
      </c>
      <c r="D318" s="3">
        <f>+EDITABLE!D338</f>
        <v>0</v>
      </c>
      <c r="E318" s="3">
        <f>+EDITABLE!E338</f>
        <v>0</v>
      </c>
      <c r="F318" s="3">
        <f>+EDITABLE!F338</f>
        <v>0</v>
      </c>
      <c r="G318" s="5">
        <f>+EDITABLE!G338</f>
        <v>0</v>
      </c>
      <c r="H318" s="3">
        <f>+EDITABLE!H338</f>
        <v>0</v>
      </c>
      <c r="I318" s="3">
        <f>+EDITABLE!I338</f>
        <v>0</v>
      </c>
      <c r="J318" s="3">
        <f>+EDITABLE!J338</f>
        <v>0</v>
      </c>
      <c r="K318" s="2">
        <f>+EDITABLE!K338</f>
        <v>0</v>
      </c>
      <c r="L318" s="24">
        <f>+EDITABLE!L338</f>
        <v>0</v>
      </c>
    </row>
    <row r="319" spans="1:13" x14ac:dyDescent="0.25">
      <c r="A319" s="3" t="str">
        <f>+EDITABLE!A339</f>
        <v/>
      </c>
      <c r="B319" s="6">
        <f>+EDITABLE!B339</f>
        <v>0</v>
      </c>
      <c r="C319" s="3">
        <f>+EDITABLE!C339</f>
        <v>0</v>
      </c>
      <c r="D319" s="3">
        <f>+EDITABLE!D339</f>
        <v>0</v>
      </c>
      <c r="E319" s="3">
        <f>+EDITABLE!E339</f>
        <v>0</v>
      </c>
      <c r="F319" s="3">
        <f>+EDITABLE!F339</f>
        <v>0</v>
      </c>
      <c r="G319" s="5">
        <f>+EDITABLE!G339</f>
        <v>0</v>
      </c>
      <c r="H319" s="3">
        <f>+EDITABLE!H339</f>
        <v>0</v>
      </c>
      <c r="I319" s="3">
        <f>+EDITABLE!I339</f>
        <v>0</v>
      </c>
      <c r="J319" s="3">
        <f>+EDITABLE!J339</f>
        <v>0</v>
      </c>
      <c r="K319" s="2">
        <f>+EDITABLE!K339</f>
        <v>0</v>
      </c>
      <c r="L319" s="24">
        <f>+EDITABLE!L339</f>
        <v>0</v>
      </c>
    </row>
    <row r="320" spans="1:13" x14ac:dyDescent="0.25">
      <c r="A320" s="3"/>
      <c r="B320" s="6">
        <f>+EDITABLE!B340</f>
        <v>0</v>
      </c>
      <c r="C320" s="3">
        <f>+EDITABLE!C340</f>
        <v>0</v>
      </c>
      <c r="D320" s="3">
        <f>+EDITABLE!D340</f>
        <v>0</v>
      </c>
      <c r="E320" s="3">
        <f>+EDITABLE!E340</f>
        <v>0</v>
      </c>
      <c r="F320" s="3">
        <f>+EDITABLE!F340</f>
        <v>0</v>
      </c>
      <c r="G320" s="5">
        <f>+EDITABLE!G340</f>
        <v>0</v>
      </c>
      <c r="H320" s="3">
        <f>+EDITABLE!H340</f>
        <v>0</v>
      </c>
      <c r="I320" s="3">
        <f>+EDITABLE!I340</f>
        <v>0</v>
      </c>
      <c r="J320" s="3">
        <f>+EDITABLE!J340</f>
        <v>0</v>
      </c>
      <c r="K320" s="2">
        <f>+EDITABLE!K340</f>
        <v>0</v>
      </c>
      <c r="L320" s="24">
        <f>+EDITABLE!L340</f>
        <v>0</v>
      </c>
    </row>
    <row r="321" spans="1:13" x14ac:dyDescent="0.25">
      <c r="A321" s="3" t="str">
        <f>+EDITABLE!A340</f>
        <v/>
      </c>
      <c r="B321" s="6">
        <f>+EDITABLE!B341</f>
        <v>0</v>
      </c>
      <c r="C321" s="3">
        <f>+EDITABLE!C341</f>
        <v>0</v>
      </c>
      <c r="D321" s="3">
        <f>+EDITABLE!D341</f>
        <v>0</v>
      </c>
      <c r="E321" s="3">
        <f>+EDITABLE!E341</f>
        <v>0</v>
      </c>
      <c r="F321" s="3">
        <f>+EDITABLE!F341</f>
        <v>0</v>
      </c>
      <c r="G321" s="5">
        <f>+EDITABLE!G341</f>
        <v>0</v>
      </c>
      <c r="H321" s="3">
        <f>+EDITABLE!H341</f>
        <v>0</v>
      </c>
      <c r="I321" s="3">
        <f>+EDITABLE!I341</f>
        <v>0</v>
      </c>
      <c r="J321" s="3">
        <f>+EDITABLE!J341</f>
        <v>0</v>
      </c>
      <c r="K321" s="2">
        <f>+EDITABLE!K341</f>
        <v>0</v>
      </c>
      <c r="L321" s="24">
        <f>+EDITABLE!L341</f>
        <v>0</v>
      </c>
    </row>
    <row r="322" spans="1:13" x14ac:dyDescent="0.25">
      <c r="A322" s="3" t="str">
        <f>+EDITABLE!A343</f>
        <v>CPUFISCALIZ</v>
      </c>
      <c r="B322" s="6">
        <f>+EDITABLE!B343</f>
        <v>1</v>
      </c>
      <c r="C322" s="3" t="str">
        <f>+EDITABLE!C343</f>
        <v>CPU</v>
      </c>
      <c r="D322" s="3" t="str">
        <f>+EDITABLE!D343</f>
        <v>NEBGRO/AZUL</v>
      </c>
      <c r="E322" s="3" t="str">
        <f>+EDITABLE!E343</f>
        <v>ARES</v>
      </c>
      <c r="F322" s="3" t="str">
        <f>+EDITABLE!F343</f>
        <v>GENERICO</v>
      </c>
      <c r="G322" s="5" t="str">
        <f>+EDITABLE!G343</f>
        <v>S/S</v>
      </c>
      <c r="H322" s="3" t="str">
        <f>+EDITABLE!H343</f>
        <v>FISCALIZACIÓN</v>
      </c>
      <c r="I322" s="3" t="str">
        <f>+EDITABLE!I343</f>
        <v>BUENO</v>
      </c>
      <c r="J322" s="3" t="str">
        <f>+EDITABLE!J343</f>
        <v>WINDOWS 8.1 INTERPRISE, PROCESADOR: INTEL ® R CORE TM i5-3330 CPU, 3.00 GHZ, RAM 4 GB, 64 BITS, INTERNET ALÁMBRICO</v>
      </c>
      <c r="K322" s="2">
        <f>+EDITABLE!K343</f>
        <v>250</v>
      </c>
      <c r="L322" s="24">
        <f>+EDITABLE!L343</f>
        <v>45288</v>
      </c>
      <c r="M322">
        <v>22</v>
      </c>
    </row>
    <row r="323" spans="1:13" x14ac:dyDescent="0.25">
      <c r="A323" s="3" t="str">
        <f>+EDITABLE!A344</f>
        <v>MONIFISCALIZ</v>
      </c>
      <c r="B323" s="6">
        <f>+EDITABLE!B344</f>
        <v>1</v>
      </c>
      <c r="C323" s="3" t="str">
        <f>+EDITABLE!C344</f>
        <v>MONITOR</v>
      </c>
      <c r="D323" s="3" t="str">
        <f>+EDITABLE!D344</f>
        <v>NEGRO</v>
      </c>
      <c r="E323" s="3" t="str">
        <f>+EDITABLE!E344</f>
        <v>HP</v>
      </c>
      <c r="F323" s="3" t="str">
        <f>+EDITABLE!F344</f>
        <v>LV1911</v>
      </c>
      <c r="G323" s="5" t="str">
        <f>+EDITABLE!G344</f>
        <v>6CM213015N</v>
      </c>
      <c r="H323" s="3" t="str">
        <f>+EDITABLE!H344</f>
        <v>FISCALIZACIÓN</v>
      </c>
      <c r="I323" s="3" t="str">
        <f>+EDITABLE!I344</f>
        <v>BUENO</v>
      </c>
      <c r="J323" s="3" t="str">
        <f>+EDITABLE!J344</f>
        <v>DE 19", CONECCIÓN VGA CON CLABELDE ENERGIA Y DATOS</v>
      </c>
      <c r="K323" s="2">
        <f>+EDITABLE!K344</f>
        <v>100</v>
      </c>
      <c r="L323" s="24">
        <f>+EDITABLE!L344</f>
        <v>45288</v>
      </c>
    </row>
    <row r="324" spans="1:13" x14ac:dyDescent="0.25">
      <c r="A324" s="3" t="str">
        <f>+EDITABLE!A345</f>
        <v>MOUSFISCALIZ</v>
      </c>
      <c r="B324" s="6">
        <f>+EDITABLE!B345</f>
        <v>1</v>
      </c>
      <c r="C324" s="3" t="str">
        <f>+EDITABLE!C345</f>
        <v>MOUSE</v>
      </c>
      <c r="D324" s="3" t="str">
        <f>+EDITABLE!D345</f>
        <v>NEGRO/CROMADO</v>
      </c>
      <c r="E324" s="3" t="str">
        <f>+EDITABLE!E345</f>
        <v>ARES</v>
      </c>
      <c r="F324" s="3" t="str">
        <f>+EDITABLE!F345</f>
        <v>HB-M098</v>
      </c>
      <c r="G324" s="5" t="str">
        <f>+EDITABLE!G345</f>
        <v>S/S</v>
      </c>
      <c r="H324" s="3" t="str">
        <f>+EDITABLE!H345</f>
        <v>FISCALIZACIÓN</v>
      </c>
      <c r="I324" s="3" t="str">
        <f>+EDITABLE!I345</f>
        <v>BUENO</v>
      </c>
      <c r="J324" s="3" t="str">
        <f>+EDITABLE!J345</f>
        <v>ALAMBRICO, LUZ LED, DISEÑO ERGOÓMICO</v>
      </c>
      <c r="K324" s="2">
        <f>+EDITABLE!K345</f>
        <v>6</v>
      </c>
      <c r="L324" s="24">
        <f>+EDITABLE!L345</f>
        <v>45288</v>
      </c>
    </row>
    <row r="325" spans="1:13" x14ac:dyDescent="0.25">
      <c r="A325" s="3" t="str">
        <f>+EDITABLE!A346</f>
        <v>TECLFISCALIZ</v>
      </c>
      <c r="B325" s="6">
        <f>+EDITABLE!B346</f>
        <v>1</v>
      </c>
      <c r="C325" s="3" t="str">
        <f>+EDITABLE!C346</f>
        <v>TECLADO</v>
      </c>
      <c r="D325" s="3" t="str">
        <f>+EDITABLE!D346</f>
        <v>NEGROCROMADO</v>
      </c>
      <c r="E325" s="3" t="str">
        <f>+EDITABLE!E346</f>
        <v>ARES</v>
      </c>
      <c r="F325" s="3" t="str">
        <f>+EDITABLE!F346</f>
        <v>HB-548D</v>
      </c>
      <c r="G325" s="5" t="str">
        <f>+EDITABLE!G346</f>
        <v>S/S</v>
      </c>
      <c r="H325" s="3" t="str">
        <f>+EDITABLE!H346</f>
        <v>FISCALIZACIÓN</v>
      </c>
      <c r="I325" s="3" t="str">
        <f>+EDITABLE!I346</f>
        <v>BUENO</v>
      </c>
      <c r="J325" s="3" t="str">
        <f>+EDITABLE!J346</f>
        <v>ALAMBRICO, HERGONÓMICO, VARIOS USOS, CONECTOR USB</v>
      </c>
      <c r="K325" s="2">
        <f>+EDITABLE!K346</f>
        <v>17</v>
      </c>
      <c r="L325" s="24">
        <f>+EDITABLE!L346</f>
        <v>45288</v>
      </c>
    </row>
    <row r="326" spans="1:13" x14ac:dyDescent="0.25">
      <c r="A326" s="3" t="str">
        <f>+EDITABLE!A347</f>
        <v>IMPRFISCALIZ</v>
      </c>
      <c r="B326" s="6">
        <f>+EDITABLE!B347</f>
        <v>1</v>
      </c>
      <c r="C326" s="3" t="str">
        <f>+EDITABLE!C347</f>
        <v>IMPRESORA</v>
      </c>
      <c r="D326" s="3" t="str">
        <f>+EDITABLE!D347</f>
        <v>NEGRO</v>
      </c>
      <c r="E326" s="3" t="str">
        <f>+EDITABLE!E347</f>
        <v>EPSON</v>
      </c>
      <c r="F326" s="3" t="str">
        <f>+EDITABLE!F347</f>
        <v>L3150</v>
      </c>
      <c r="G326" s="5" t="str">
        <f>+EDITABLE!G347</f>
        <v>X5E8213733</v>
      </c>
      <c r="H326" s="3" t="str">
        <f>+EDITABLE!H347</f>
        <v>FISCALIZACIÓN</v>
      </c>
      <c r="I326" s="3" t="str">
        <f>+EDITABLE!I347</f>
        <v>BUENO</v>
      </c>
      <c r="J326" s="3" t="str">
        <f>+EDITABLE!J347</f>
        <v>CON TINTA CONTINUA A COLORES CABLE DE DATOS Y CABLE DE ENERGIA</v>
      </c>
      <c r="K326" s="2">
        <f>+EDITABLE!K347</f>
        <v>185</v>
      </c>
      <c r="L326" s="24">
        <f>+EDITABLE!L347</f>
        <v>44375</v>
      </c>
    </row>
    <row r="327" spans="1:13" x14ac:dyDescent="0.25">
      <c r="A327" s="3" t="str">
        <f>+EDITABLE!A348</f>
        <v>CPUFISCALIZ</v>
      </c>
      <c r="B327" s="6">
        <f>+EDITABLE!B348</f>
        <v>1</v>
      </c>
      <c r="C327" s="3" t="str">
        <f>+EDITABLE!C348</f>
        <v>CPU</v>
      </c>
      <c r="D327" s="3" t="str">
        <f>+EDITABLE!D348</f>
        <v>NEGRO</v>
      </c>
      <c r="E327" s="3" t="str">
        <f>+EDITABLE!E348</f>
        <v>INS</v>
      </c>
      <c r="F327" s="3" t="str">
        <f>+EDITABLE!F348</f>
        <v>S/M</v>
      </c>
      <c r="G327" s="5">
        <f>+EDITABLE!G348</f>
        <v>8225062019</v>
      </c>
      <c r="H327" s="3" t="str">
        <f>+EDITABLE!H348</f>
        <v>FISCALIZACIÓN</v>
      </c>
      <c r="I327" s="3" t="str">
        <f>+EDITABLE!I348</f>
        <v>BUENO</v>
      </c>
      <c r="J327" s="3" t="str">
        <f>+EDITABLE!J348</f>
        <v>WINDOWS 8.1 INTERPRISE, PROCESADOR: INTEL ® R CORE TM i3-9100F CPU, 3.60 GHZ, RAM 4 GB, 64 BITS, INTERNET ALÁMBRICO</v>
      </c>
      <c r="K327" s="2">
        <f>+EDITABLE!K348</f>
        <v>250</v>
      </c>
      <c r="L327" s="24">
        <f>+EDITABLE!L348</f>
        <v>45288</v>
      </c>
    </row>
    <row r="328" spans="1:13" x14ac:dyDescent="0.25">
      <c r="A328" s="3" t="str">
        <f>+EDITABLE!A349</f>
        <v>MONIFISCALIZ</v>
      </c>
      <c r="B328" s="6">
        <f>+EDITABLE!B349</f>
        <v>1</v>
      </c>
      <c r="C328" s="3" t="str">
        <f>+EDITABLE!C349</f>
        <v>MONITOR</v>
      </c>
      <c r="D328" s="3" t="str">
        <f>+EDITABLE!D349</f>
        <v>NEGRO</v>
      </c>
      <c r="E328" s="3" t="str">
        <f>+EDITABLE!E349</f>
        <v>LG</v>
      </c>
      <c r="F328" s="3" t="str">
        <f>+EDITABLE!F349</f>
        <v>20MK400H-B</v>
      </c>
      <c r="G328" s="5" t="str">
        <f>+EDITABLE!G349</f>
        <v>911NTJJ1T164</v>
      </c>
      <c r="H328" s="3" t="str">
        <f>+EDITABLE!H349</f>
        <v>FISCALIZACIÓN</v>
      </c>
      <c r="I328" s="3" t="str">
        <f>+EDITABLE!I349</f>
        <v>BUENO</v>
      </c>
      <c r="J328" s="3" t="str">
        <f>+EDITABLE!J349</f>
        <v>DE 19", CONECCIÓN VGA CON CLABELDE ENERGIA Y DATOS</v>
      </c>
      <c r="K328" s="2">
        <f>+EDITABLE!K349</f>
        <v>60</v>
      </c>
      <c r="L328" s="24">
        <f>+EDITABLE!L349</f>
        <v>45288</v>
      </c>
    </row>
    <row r="329" spans="1:13" x14ac:dyDescent="0.25">
      <c r="A329" s="3" t="str">
        <f>+EDITABLE!A350</f>
        <v>MOUSFISCALIZ</v>
      </c>
      <c r="B329" s="6">
        <f>+EDITABLE!B350</f>
        <v>1</v>
      </c>
      <c r="C329" s="3" t="str">
        <f>+EDITABLE!C350</f>
        <v>MOUSE</v>
      </c>
      <c r="D329" s="3" t="str">
        <f>+EDITABLE!D350</f>
        <v>NEGRO - GRIS</v>
      </c>
      <c r="E329" s="3" t="str">
        <f>+EDITABLE!E350</f>
        <v>INS</v>
      </c>
      <c r="F329" s="3" t="str">
        <f>+EDITABLE!F350</f>
        <v>S/M</v>
      </c>
      <c r="G329" s="5" t="str">
        <f>+EDITABLE!G350</f>
        <v>S/S</v>
      </c>
      <c r="H329" s="3" t="str">
        <f>+EDITABLE!H350</f>
        <v>FISCALIZACIÓN</v>
      </c>
      <c r="I329" s="3" t="str">
        <f>+EDITABLE!I350</f>
        <v>BUENO</v>
      </c>
      <c r="J329" s="3" t="str">
        <f>+EDITABLE!J350</f>
        <v>ALAMBRICO, LED, OPTICO</v>
      </c>
      <c r="K329" s="2">
        <f>+EDITABLE!K350</f>
        <v>5</v>
      </c>
      <c r="L329" s="24">
        <f>+EDITABLE!L350</f>
        <v>45288</v>
      </c>
    </row>
    <row r="330" spans="1:13" x14ac:dyDescent="0.25">
      <c r="A330" s="3" t="str">
        <f>+EDITABLE!A351</f>
        <v>REGUFISCALIZ</v>
      </c>
      <c r="B330" s="6">
        <f>+EDITABLE!B351</f>
        <v>1</v>
      </c>
      <c r="C330" s="3" t="str">
        <f>+EDITABLE!C351</f>
        <v>REGULADOR DE VOLTAJE</v>
      </c>
      <c r="D330" s="3" t="str">
        <f>+EDITABLE!D351</f>
        <v>NEGRO</v>
      </c>
      <c r="E330" s="3" t="str">
        <f>+EDITABLE!E351</f>
        <v>ALTEK</v>
      </c>
      <c r="F330" s="3" t="str">
        <f>+EDITABLE!F351</f>
        <v>ABR1600SN</v>
      </c>
      <c r="G330" s="5">
        <f>+EDITABLE!G351</f>
        <v>130414499</v>
      </c>
      <c r="H330" s="3" t="str">
        <f>+EDITABLE!H351</f>
        <v>FISCALIZACIÓN</v>
      </c>
      <c r="I330" s="3" t="str">
        <f>+EDITABLE!I351</f>
        <v>BUENO</v>
      </c>
      <c r="J330" s="3" t="str">
        <f>+EDITABLE!J351</f>
        <v>CON 8 TOMAS Y 2 TOMAS RJ 11 DE TELÉFONO, 200v</v>
      </c>
      <c r="K330" s="2">
        <f>+EDITABLE!K351</f>
        <v>17</v>
      </c>
      <c r="L330" s="24">
        <f>+EDITABLE!L351</f>
        <v>45288</v>
      </c>
    </row>
    <row r="331" spans="1:13" x14ac:dyDescent="0.25">
      <c r="A331" s="3" t="str">
        <f>+EDITABLE!A352</f>
        <v>TECLFISCALIZ</v>
      </c>
      <c r="B331" s="6">
        <f>+EDITABLE!B352</f>
        <v>1</v>
      </c>
      <c r="C331" s="3" t="str">
        <f>+EDITABLE!C352</f>
        <v>TECLADO</v>
      </c>
      <c r="D331" s="3" t="str">
        <f>+EDITABLE!D352</f>
        <v>NEGRO</v>
      </c>
      <c r="E331" s="3" t="str">
        <f>+EDITABLE!E352</f>
        <v>INS</v>
      </c>
      <c r="F331" s="3" t="str">
        <f>+EDITABLE!F352</f>
        <v>S/M</v>
      </c>
      <c r="G331" s="5" t="str">
        <f>+EDITABLE!G352</f>
        <v>S/S</v>
      </c>
      <c r="H331" s="3" t="str">
        <f>+EDITABLE!H352</f>
        <v>FISCALIZACIÓN</v>
      </c>
      <c r="I331" s="3" t="str">
        <f>+EDITABLE!I352</f>
        <v>BUENO</v>
      </c>
      <c r="J331" s="3" t="str">
        <f>+EDITABLE!J352</f>
        <v>ALAMBRICO, HERGONÓMICO, CONECTOR USB, CON TECLADO NUMÉRICO</v>
      </c>
      <c r="K331" s="2">
        <f>+EDITABLE!K352</f>
        <v>16.7</v>
      </c>
      <c r="L331" s="24">
        <f>+EDITABLE!L352</f>
        <v>45288</v>
      </c>
    </row>
    <row r="332" spans="1:13" x14ac:dyDescent="0.25">
      <c r="A332" s="3" t="str">
        <f>+EDITABLE!A353</f>
        <v>SWITFISCALIZ</v>
      </c>
      <c r="B332" s="6">
        <f>+EDITABLE!B353</f>
        <v>1</v>
      </c>
      <c r="C332" s="3" t="str">
        <f>+EDITABLE!C353</f>
        <v>SWITCH DE INTERNET</v>
      </c>
      <c r="D332" s="3" t="str">
        <f>+EDITABLE!D353</f>
        <v>AZUL</v>
      </c>
      <c r="E332" s="3" t="str">
        <f>+EDITABLE!E353</f>
        <v>TP-LINK</v>
      </c>
      <c r="F332" s="3" t="str">
        <f>+EDITABLE!F353</f>
        <v>TN-SG108</v>
      </c>
      <c r="G332" s="5" t="str">
        <f>+EDITABLE!G353</f>
        <v>22361E5003891</v>
      </c>
      <c r="H332" s="3" t="str">
        <f>+EDITABLE!H353</f>
        <v>FISCALIZACIÓN</v>
      </c>
      <c r="I332" s="3" t="str">
        <f>+EDITABLE!I353</f>
        <v>BUENO</v>
      </c>
      <c r="J332" s="3" t="str">
        <f>+EDITABLE!J353</f>
        <v>DE 5 PUERTOS RJ45, TIPO DE COMUNICACIÓN STORE AND FORWARD</v>
      </c>
      <c r="K332" s="2">
        <f>+EDITABLE!K353</f>
        <v>22</v>
      </c>
      <c r="L332" s="24">
        <f>+EDITABLE!L353</f>
        <v>45288</v>
      </c>
    </row>
    <row r="333" spans="1:13" x14ac:dyDescent="0.25">
      <c r="A333" s="3" t="str">
        <f>+EDITABLE!A354</f>
        <v>PARLFISCALIZ</v>
      </c>
      <c r="B333" s="6">
        <f>+EDITABLE!B354</f>
        <v>1</v>
      </c>
      <c r="C333" s="3" t="str">
        <f>+EDITABLE!C354</f>
        <v>PARLANTES</v>
      </c>
      <c r="D333" s="3" t="str">
        <f>+EDITABLE!D354</f>
        <v>NEGRO</v>
      </c>
      <c r="E333" s="3" t="str">
        <f>+EDITABLE!E354</f>
        <v>INS</v>
      </c>
      <c r="F333" s="3" t="str">
        <f>+EDITABLE!F354</f>
        <v>S/M</v>
      </c>
      <c r="G333" s="5" t="str">
        <f>+EDITABLE!G354</f>
        <v>S/M</v>
      </c>
      <c r="H333" s="3" t="str">
        <f>+EDITABLE!H354</f>
        <v>FISCALIZACIÓN</v>
      </c>
      <c r="I333" s="3" t="str">
        <f>+EDITABLE!I354</f>
        <v>BUENO</v>
      </c>
      <c r="J333" s="3" t="str">
        <f>+EDITABLE!J354</f>
        <v>CON CABLE DE SONIDO Y ENERGIA</v>
      </c>
      <c r="K333" s="2">
        <f>+EDITABLE!K354</f>
        <v>15</v>
      </c>
      <c r="L333" s="24">
        <f>+EDITABLE!L354</f>
        <v>45288</v>
      </c>
    </row>
    <row r="334" spans="1:13" x14ac:dyDescent="0.25">
      <c r="A334" s="3" t="str">
        <f>+EDITABLE!A355</f>
        <v/>
      </c>
      <c r="B334" s="6">
        <f>+EDITABLE!B355</f>
        <v>0</v>
      </c>
      <c r="C334" s="3">
        <f>+EDITABLE!C355</f>
        <v>0</v>
      </c>
      <c r="D334" s="3">
        <f>+EDITABLE!D355</f>
        <v>0</v>
      </c>
      <c r="E334" s="3">
        <f>+EDITABLE!E355</f>
        <v>0</v>
      </c>
      <c r="F334" s="3">
        <f>+EDITABLE!F355</f>
        <v>0</v>
      </c>
      <c r="G334" s="5">
        <f>+EDITABLE!G355</f>
        <v>0</v>
      </c>
      <c r="H334" s="3">
        <f>+EDITABLE!H355</f>
        <v>0</v>
      </c>
      <c r="I334" s="3">
        <f>+EDITABLE!I355</f>
        <v>0</v>
      </c>
      <c r="J334" s="3">
        <f>+EDITABLE!J355</f>
        <v>0</v>
      </c>
      <c r="K334" s="2">
        <f>+EDITABLE!K355</f>
        <v>0</v>
      </c>
      <c r="L334" s="24">
        <f>+EDITABLE!L355</f>
        <v>0</v>
      </c>
    </row>
    <row r="335" spans="1:13" x14ac:dyDescent="0.25">
      <c r="A335" s="3"/>
      <c r="B335" s="6">
        <f>+EDITABLE!B356</f>
        <v>0</v>
      </c>
      <c r="C335" s="3">
        <f>+EDITABLE!C356</f>
        <v>0</v>
      </c>
      <c r="D335" s="3">
        <f>+EDITABLE!D356</f>
        <v>0</v>
      </c>
      <c r="E335" s="3">
        <f>+EDITABLE!E356</f>
        <v>0</v>
      </c>
      <c r="F335" s="3">
        <f>+EDITABLE!F356</f>
        <v>0</v>
      </c>
      <c r="G335" s="5">
        <f>+EDITABLE!G356</f>
        <v>0</v>
      </c>
      <c r="H335" s="3">
        <f>+EDITABLE!H356</f>
        <v>0</v>
      </c>
      <c r="I335" s="3">
        <f>+EDITABLE!I356</f>
        <v>0</v>
      </c>
      <c r="J335" s="3">
        <f>+EDITABLE!J356</f>
        <v>0</v>
      </c>
      <c r="K335" s="2">
        <f>+EDITABLE!K356</f>
        <v>0</v>
      </c>
      <c r="L335" s="24">
        <f>+EDITABLE!L356</f>
        <v>0</v>
      </c>
    </row>
    <row r="336" spans="1:13" x14ac:dyDescent="0.25">
      <c r="A336" s="3" t="str">
        <f>+EDITABLE!A356</f>
        <v/>
      </c>
      <c r="B336" s="6">
        <f>+EDITABLE!B357</f>
        <v>0</v>
      </c>
      <c r="C336" s="3">
        <f>+EDITABLE!C357</f>
        <v>0</v>
      </c>
      <c r="D336" s="3">
        <f>+EDITABLE!D357</f>
        <v>0</v>
      </c>
      <c r="E336" s="3">
        <f>+EDITABLE!E357</f>
        <v>0</v>
      </c>
      <c r="F336" s="3">
        <f>+EDITABLE!F357</f>
        <v>0</v>
      </c>
      <c r="G336" s="5">
        <f>+EDITABLE!G357</f>
        <v>0</v>
      </c>
      <c r="H336" s="3">
        <f>+EDITABLE!H357</f>
        <v>0</v>
      </c>
      <c r="I336" s="3">
        <f>+EDITABLE!I357</f>
        <v>0</v>
      </c>
      <c r="J336" s="3">
        <f>+EDITABLE!J357</f>
        <v>0</v>
      </c>
      <c r="K336" s="2">
        <f>+EDITABLE!K357</f>
        <v>0</v>
      </c>
      <c r="L336" s="24">
        <f>+EDITABLE!L357</f>
        <v>0</v>
      </c>
    </row>
    <row r="337" spans="1:13" x14ac:dyDescent="0.25">
      <c r="A337" s="3" t="str">
        <f>+EDITABLE!A359</f>
        <v>REGUFUNERARI</v>
      </c>
      <c r="B337" s="6">
        <f>+EDITABLE!B359</f>
        <v>1</v>
      </c>
      <c r="C337" s="3" t="str">
        <f>+EDITABLE!C359</f>
        <v xml:space="preserve">REGULADOR DE VOLTAJE </v>
      </c>
      <c r="D337" s="3" t="str">
        <f>+EDITABLE!D359</f>
        <v>NEGRO</v>
      </c>
      <c r="E337" s="3" t="str">
        <f>+EDITABLE!E359</f>
        <v>ALTEK</v>
      </c>
      <c r="F337" s="3" t="str">
        <f>+EDITABLE!F359</f>
        <v>AVR1600</v>
      </c>
      <c r="G337" s="5">
        <f>+EDITABLE!G359</f>
        <v>130414508</v>
      </c>
      <c r="H337" s="3" t="str">
        <f>+EDITABLE!H359</f>
        <v>FUNERARIA</v>
      </c>
      <c r="I337" s="3" t="str">
        <f>+EDITABLE!I359</f>
        <v>BUENO</v>
      </c>
      <c r="J337" s="3" t="str">
        <f>+EDITABLE!J359</f>
        <v>CON 8 TOMAS Y 2 TOMAS RJ 11 DE TELÉFONO, 200v</v>
      </c>
      <c r="K337" s="2">
        <f>+EDITABLE!K359</f>
        <v>13</v>
      </c>
      <c r="L337" s="24">
        <f>+EDITABLE!L359</f>
        <v>44207</v>
      </c>
      <c r="M337">
        <v>23</v>
      </c>
    </row>
    <row r="338" spans="1:13" x14ac:dyDescent="0.25">
      <c r="A338" s="3" t="str">
        <f>+EDITABLE!A360</f>
        <v>REGUFUNERARI</v>
      </c>
      <c r="B338" s="6">
        <f>+EDITABLE!B360</f>
        <v>1</v>
      </c>
      <c r="C338" s="3" t="str">
        <f>+EDITABLE!C360</f>
        <v xml:space="preserve">REGULADOR DE VOLTAGE </v>
      </c>
      <c r="D338" s="3" t="str">
        <f>+EDITABLE!D360</f>
        <v>NEGRO</v>
      </c>
      <c r="E338" s="3" t="str">
        <f>+EDITABLE!E360</f>
        <v>APEX</v>
      </c>
      <c r="F338" s="3" t="str">
        <f>+EDITABLE!F360</f>
        <v>AVP1500M</v>
      </c>
      <c r="G338" s="5">
        <f>+EDITABLE!G360</f>
        <v>92900959</v>
      </c>
      <c r="H338" s="3" t="str">
        <f>+EDITABLE!H360</f>
        <v>FUNERARIA</v>
      </c>
      <c r="I338" s="3" t="str">
        <f>+EDITABLE!I360</f>
        <v>BUENO</v>
      </c>
      <c r="J338" s="3" t="str">
        <f>+EDITABLE!J360</f>
        <v>DE 8 TOMAS Y DOS TOMAS RJ 11 DE TELÉFONO, 1000va</v>
      </c>
      <c r="K338" s="2">
        <f>+EDITABLE!K360</f>
        <v>17.739999999999998</v>
      </c>
      <c r="L338" s="24">
        <f>+EDITABLE!L360</f>
        <v>44207</v>
      </c>
    </row>
    <row r="339" spans="1:13" x14ac:dyDescent="0.25">
      <c r="A339" s="3" t="str">
        <f>+EDITABLE!A361</f>
        <v/>
      </c>
      <c r="B339" s="6">
        <f>+EDITABLE!B361</f>
        <v>0</v>
      </c>
      <c r="C339" s="3">
        <f>+EDITABLE!C361</f>
        <v>0</v>
      </c>
      <c r="D339" s="3">
        <f>+EDITABLE!D361</f>
        <v>0</v>
      </c>
      <c r="E339" s="3">
        <f>+EDITABLE!E361</f>
        <v>0</v>
      </c>
      <c r="F339" s="3">
        <f>+EDITABLE!F361</f>
        <v>0</v>
      </c>
      <c r="G339" s="5">
        <f>+EDITABLE!G361</f>
        <v>0</v>
      </c>
      <c r="H339" s="3">
        <f>+EDITABLE!H361</f>
        <v>0</v>
      </c>
      <c r="I339" s="3">
        <f>+EDITABLE!I361</f>
        <v>0</v>
      </c>
      <c r="J339" s="3">
        <f>+EDITABLE!J361</f>
        <v>0</v>
      </c>
      <c r="K339" s="2">
        <f>+EDITABLE!K361</f>
        <v>0</v>
      </c>
      <c r="L339" s="24">
        <f>+EDITABLE!L361</f>
        <v>0</v>
      </c>
    </row>
    <row r="340" spans="1:13" x14ac:dyDescent="0.25">
      <c r="A340" s="3" t="str">
        <f>+EDITABLE!A362</f>
        <v/>
      </c>
      <c r="B340" s="6">
        <f>+EDITABLE!B362</f>
        <v>0</v>
      </c>
      <c r="C340" s="3">
        <f>+EDITABLE!C362</f>
        <v>0</v>
      </c>
      <c r="D340" s="3">
        <f>+EDITABLE!D362</f>
        <v>0</v>
      </c>
      <c r="E340" s="3">
        <f>+EDITABLE!E362</f>
        <v>0</v>
      </c>
      <c r="F340" s="3">
        <f>+EDITABLE!F362</f>
        <v>0</v>
      </c>
      <c r="G340" s="5">
        <f>+EDITABLE!G362</f>
        <v>0</v>
      </c>
      <c r="H340" s="3">
        <f>+EDITABLE!H362</f>
        <v>0</v>
      </c>
      <c r="I340" s="3">
        <f>+EDITABLE!I362</f>
        <v>0</v>
      </c>
      <c r="J340" s="3">
        <f>+EDITABLE!J362</f>
        <v>0</v>
      </c>
      <c r="K340" s="2">
        <f>+EDITABLE!K362</f>
        <v>0</v>
      </c>
      <c r="L340" s="24">
        <f>+EDITABLE!L362</f>
        <v>0</v>
      </c>
    </row>
    <row r="341" spans="1:13" x14ac:dyDescent="0.25">
      <c r="A341" s="3" t="str">
        <f>+EDITABLE!A363</f>
        <v/>
      </c>
      <c r="B341" s="6">
        <f>+EDITABLE!B363</f>
        <v>0</v>
      </c>
      <c r="C341" s="3">
        <f>+EDITABLE!C363</f>
        <v>0</v>
      </c>
      <c r="D341" s="3">
        <f>+EDITABLE!D363</f>
        <v>0</v>
      </c>
      <c r="E341" s="3">
        <f>+EDITABLE!E363</f>
        <v>0</v>
      </c>
      <c r="F341" s="3">
        <f>+EDITABLE!F363</f>
        <v>0</v>
      </c>
      <c r="G341" s="5">
        <f>+EDITABLE!G363</f>
        <v>0</v>
      </c>
      <c r="H341" s="3">
        <f>+EDITABLE!H363</f>
        <v>0</v>
      </c>
      <c r="I341" s="3">
        <f>+EDITABLE!I363</f>
        <v>0</v>
      </c>
      <c r="J341" s="3">
        <f>+EDITABLE!J363</f>
        <v>0</v>
      </c>
      <c r="K341" s="2">
        <f>+EDITABLE!K363</f>
        <v>0</v>
      </c>
      <c r="L341" s="24">
        <f>+EDITABLE!L363</f>
        <v>0</v>
      </c>
    </row>
    <row r="342" spans="1:13" x14ac:dyDescent="0.25">
      <c r="A342" s="3" t="str">
        <f>+EDITABLE!A365</f>
        <v>MODEASESORÍA</v>
      </c>
      <c r="B342" s="6">
        <f>+EDITABLE!B365</f>
        <v>1</v>
      </c>
      <c r="C342" s="3" t="str">
        <f>+EDITABLE!C365</f>
        <v>MODEM WIFI</v>
      </c>
      <c r="D342" s="3" t="str">
        <f>+EDITABLE!D365</f>
        <v>BLANCO</v>
      </c>
      <c r="E342" s="3" t="str">
        <f>+EDITABLE!E365</f>
        <v>HUAWEI</v>
      </c>
      <c r="F342" s="3" t="str">
        <f>+EDITABLE!F365</f>
        <v>ECHOLIFE HG8546M</v>
      </c>
      <c r="G342" s="5" t="str">
        <f>+EDITABLE!G365</f>
        <v>2015DP0479</v>
      </c>
      <c r="H342" s="3" t="str">
        <f>+EDITABLE!H365</f>
        <v>ASESORÍA TÉCNICA VIAL</v>
      </c>
      <c r="I342" s="3" t="str">
        <f>+EDITABLE!I365</f>
        <v>BUENO</v>
      </c>
      <c r="J342" s="3" t="str">
        <f>+EDITABLE!J365</f>
        <v>DE 6 PUERTOS PARA RJ45 Y 1 DE USB</v>
      </c>
      <c r="K342" s="2">
        <f>+EDITABLE!K365</f>
        <v>80</v>
      </c>
      <c r="L342" s="24">
        <f>+EDITABLE!L365</f>
        <v>44375</v>
      </c>
      <c r="M342">
        <v>24</v>
      </c>
    </row>
    <row r="343" spans="1:13" x14ac:dyDescent="0.25">
      <c r="A343" s="3" t="str">
        <f>+EDITABLE!A366</f>
        <v>IMPRASESORÍA</v>
      </c>
      <c r="B343" s="6">
        <f>+EDITABLE!B366</f>
        <v>1</v>
      </c>
      <c r="C343" s="3" t="str">
        <f>+EDITABLE!C366</f>
        <v>IMPRESORA</v>
      </c>
      <c r="D343" s="3" t="str">
        <f>+EDITABLE!D366</f>
        <v>NEGRO</v>
      </c>
      <c r="E343" s="3" t="str">
        <f>+EDITABLE!E366</f>
        <v>EPSON</v>
      </c>
      <c r="F343" s="3" t="str">
        <f>+EDITABLE!F366</f>
        <v>L3150</v>
      </c>
      <c r="G343" s="5" t="str">
        <f>+EDITABLE!G366</f>
        <v>XTGP288327</v>
      </c>
      <c r="H343" s="3" t="str">
        <f>+EDITABLE!H366</f>
        <v>ASESORÍA TÉCNICA VIAL</v>
      </c>
      <c r="I343" s="3" t="str">
        <f>+EDITABLE!I366</f>
        <v>BUENO</v>
      </c>
      <c r="J343" s="3" t="str">
        <f>+EDITABLE!J366</f>
        <v>CON TINTA CONTINUA A COLORES CABLE DE DATOS Y CABLE DE ENERGIA</v>
      </c>
      <c r="K343" s="2">
        <f>+EDITABLE!K366</f>
        <v>185</v>
      </c>
      <c r="L343" s="24">
        <f>+EDITABLE!L366</f>
        <v>44375</v>
      </c>
    </row>
    <row r="344" spans="1:13" x14ac:dyDescent="0.25">
      <c r="A344" s="3" t="str">
        <f>+EDITABLE!A367</f>
        <v>REGUASESORÍA</v>
      </c>
      <c r="B344" s="6">
        <f>+EDITABLE!B367</f>
        <v>1</v>
      </c>
      <c r="C344" s="3" t="str">
        <f>+EDITABLE!C367</f>
        <v>REGULADOR DE VOLTAJE</v>
      </c>
      <c r="D344" s="3" t="str">
        <f>+EDITABLE!D367</f>
        <v>NEGRO</v>
      </c>
      <c r="E344" s="3" t="str">
        <f>+EDITABLE!E367</f>
        <v>INS</v>
      </c>
      <c r="F344" s="3" t="str">
        <f>+EDITABLE!F367</f>
        <v>AVRINS2000VA</v>
      </c>
      <c r="G344" s="5" t="str">
        <f>+EDITABLE!G367</f>
        <v>19C04206303</v>
      </c>
      <c r="H344" s="3" t="str">
        <f>+EDITABLE!H367</f>
        <v>ASESORÍA TÉCNICA VIAL</v>
      </c>
      <c r="I344" s="3" t="str">
        <f>+EDITABLE!I367</f>
        <v>BUENO</v>
      </c>
      <c r="J344" s="3" t="str">
        <f>+EDITABLE!J367</f>
        <v>CON 8 TOMAS Y 2 DE TELÉFONO, 2000va</v>
      </c>
      <c r="K344" s="2">
        <f>+EDITABLE!K367</f>
        <v>13</v>
      </c>
      <c r="L344" s="24">
        <f>+EDITABLE!L367</f>
        <v>44375</v>
      </c>
    </row>
    <row r="345" spans="1:13" x14ac:dyDescent="0.25">
      <c r="A345" s="3" t="str">
        <f>+EDITABLE!A368</f>
        <v>RELOASESORÍA</v>
      </c>
      <c r="B345" s="6">
        <f>+EDITABLE!B368</f>
        <v>1</v>
      </c>
      <c r="C345" s="3" t="str">
        <f>+EDITABLE!C368</f>
        <v>RELOJ BIOMETRICO</v>
      </c>
      <c r="D345" s="3" t="str">
        <f>+EDITABLE!D368</f>
        <v>NEGRO</v>
      </c>
      <c r="E345" s="3" t="str">
        <f>+EDITABLE!E368</f>
        <v>ZK-TECO</v>
      </c>
      <c r="F345" s="3" t="str">
        <f>+EDITABLE!F368</f>
        <v>V300-G-ID</v>
      </c>
      <c r="G345" s="5" t="str">
        <f>+EDITABLE!G368</f>
        <v>6339152700612</v>
      </c>
      <c r="H345" s="3" t="str">
        <f>+EDITABLE!H368</f>
        <v>ASESORÍA TÉCNICA VIAL</v>
      </c>
      <c r="I345" s="3" t="str">
        <f>+EDITABLE!I368</f>
        <v>BUENO</v>
      </c>
      <c r="J345" s="3" t="str">
        <f>+EDITABLE!J368</f>
        <v>Reconocimiento biométrico preciso: Utiliza algoritmos de vanguardia para garantizar una identificación precisa de huellas dactilares.
Diseño compacto y elegante: Su diseño estilizado se adapta fácilmente a cualquier entorno y brinda una apariencia moderna.</v>
      </c>
      <c r="K345" s="2">
        <f>+EDITABLE!K368</f>
        <v>250</v>
      </c>
      <c r="L345" s="24">
        <f>+EDITABLE!L368</f>
        <v>45364</v>
      </c>
    </row>
    <row r="346" spans="1:13" x14ac:dyDescent="0.25">
      <c r="A346" s="3" t="str">
        <f>+EDITABLE!A369</f>
        <v>PARLASESORÍA</v>
      </c>
      <c r="B346" s="6">
        <f>+EDITABLE!B369</f>
        <v>1</v>
      </c>
      <c r="C346" s="3" t="str">
        <f>+EDITABLE!C369</f>
        <v>PARLANTES</v>
      </c>
      <c r="D346" s="3" t="str">
        <f>+EDITABLE!D369</f>
        <v>NEGRO/CROMADO</v>
      </c>
      <c r="E346" s="3" t="str">
        <f>+EDITABLE!E369</f>
        <v>DELUX</v>
      </c>
      <c r="F346" s="3" t="str">
        <f>+EDITABLE!F369</f>
        <v>MULTIMEDIASPEAKER</v>
      </c>
      <c r="G346" s="5" t="str">
        <f>+EDITABLE!G369</f>
        <v>S-2012U</v>
      </c>
      <c r="H346" s="3" t="str">
        <f>+EDITABLE!H369</f>
        <v>ASESORÍA TÉCNICA VIAL</v>
      </c>
      <c r="I346" s="3" t="str">
        <f>+EDITABLE!I369</f>
        <v>BUENO</v>
      </c>
      <c r="J346" s="3" t="str">
        <f>+EDITABLE!J369</f>
        <v>PARLANTES USB</v>
      </c>
      <c r="K346" s="2">
        <f>+EDITABLE!K369</f>
        <v>15</v>
      </c>
      <c r="L346" s="24">
        <f>+EDITABLE!L369</f>
        <v>44244</v>
      </c>
    </row>
    <row r="347" spans="1:13" x14ac:dyDescent="0.25">
      <c r="A347" s="3" t="str">
        <f>+EDITABLE!A370</f>
        <v>COMPASESORÍA</v>
      </c>
      <c r="B347" s="6">
        <f>+EDITABLE!B370</f>
        <v>1</v>
      </c>
      <c r="C347" s="3" t="str">
        <f>+EDITABLE!C370</f>
        <v>COMPUTADOR PORTATIL</v>
      </c>
      <c r="D347" s="3" t="str">
        <f>+EDITABLE!D370</f>
        <v>NEGRO</v>
      </c>
      <c r="E347" s="3" t="str">
        <f>+EDITABLE!E370</f>
        <v>HACER</v>
      </c>
      <c r="F347" s="3" t="str">
        <f>+EDITABLE!F370</f>
        <v>ASPIREONE 725-0480</v>
      </c>
      <c r="G347" s="5" t="str">
        <f>+EDITABLE!G370</f>
        <v>NUSGPAL00921916F7D7600</v>
      </c>
      <c r="H347" s="3" t="str">
        <f>+EDITABLE!H370</f>
        <v>ASESORÍA TÉCNICA VIAL</v>
      </c>
      <c r="I347" s="3" t="str">
        <f>+EDITABLE!I370</f>
        <v>BUENO</v>
      </c>
      <c r="J347" s="3" t="str">
        <f>+EDITABLE!J370</f>
        <v>WINDOWS 7 STARTER, PROCESADOR: AMD C-60 APU WITH RADEMO™ HD GRAPHICS, 1.00 GHZ, RAM 2 GB, 32 BITS, INTERNET INALAMBRICO Y POR CABLE, CARGADOR DE ENERGIA</v>
      </c>
      <c r="K347" s="2">
        <f>+EDITABLE!K370</f>
        <v>200</v>
      </c>
      <c r="L347" s="24">
        <f>+EDITABLE!L370</f>
        <v>44249</v>
      </c>
    </row>
    <row r="348" spans="1:13" x14ac:dyDescent="0.25">
      <c r="A348" s="3" t="str">
        <f>+EDITABLE!A373</f>
        <v>CAMAASESORÍA</v>
      </c>
      <c r="B348" s="6">
        <f>+EDITABLE!B373</f>
        <v>2</v>
      </c>
      <c r="C348" s="3" t="str">
        <f>+EDITABLE!C373</f>
        <v>CAMARA</v>
      </c>
      <c r="D348" s="3" t="str">
        <f>+EDITABLE!D373</f>
        <v>BLANCO/NEGRO</v>
      </c>
      <c r="E348" s="3" t="str">
        <f>+EDITABLE!E373</f>
        <v>HIBRIDA</v>
      </c>
      <c r="F348" s="3" t="str">
        <f>+EDITABLE!F373</f>
        <v>HIBRIDA</v>
      </c>
      <c r="G348" s="5" t="str">
        <f>+EDITABLE!G373</f>
        <v>S/S</v>
      </c>
      <c r="H348" s="3" t="str">
        <f>+EDITABLE!H373</f>
        <v>ASESORÍA TÉCNICA VIAL</v>
      </c>
      <c r="I348" s="3" t="str">
        <f>+EDITABLE!I373</f>
        <v>BUENO</v>
      </c>
      <c r="J348" s="3" t="str">
        <f>+EDITABLE!J373</f>
        <v>HIBRIRA/2.8 mm/IR/IP67/AUDIO DUAL LIGHT/POE-DIST</v>
      </c>
      <c r="K348" s="2">
        <f>+EDITABLE!K373</f>
        <v>130.44</v>
      </c>
      <c r="L348" s="24">
        <f>+EDITABLE!L373</f>
        <v>45985</v>
      </c>
    </row>
    <row r="349" spans="1:13" x14ac:dyDescent="0.25">
      <c r="A349" s="3" t="str">
        <f>+EDITABLE!A374</f>
        <v>CAMAASESORÍA</v>
      </c>
      <c r="B349" s="6">
        <f>+EDITABLE!B374</f>
        <v>1</v>
      </c>
      <c r="C349" s="3" t="str">
        <f>+EDITABLE!C374</f>
        <v>CAMARA</v>
      </c>
      <c r="D349" s="3" t="str">
        <f>+EDITABLE!D374</f>
        <v>BLANCO</v>
      </c>
      <c r="E349" s="3" t="str">
        <f>+EDITABLE!E374</f>
        <v>HIKVISION</v>
      </c>
      <c r="F349" s="3" t="str">
        <f>+EDITABLE!F374</f>
        <v>DOMO</v>
      </c>
      <c r="G349" s="5" t="str">
        <f>+EDITABLE!G374</f>
        <v>DS-2CD1123GOE-I</v>
      </c>
      <c r="H349" s="3" t="str">
        <f>+EDITABLE!H374</f>
        <v>ASESORÍA TÉCNICA VIAL</v>
      </c>
      <c r="I349" s="3" t="str">
        <f>+EDITABLE!I374</f>
        <v>BUENO</v>
      </c>
      <c r="J349" s="3" t="str">
        <f>+EDITABLE!J374</f>
        <v xml:space="preserve">1080P, LENTE 2.8MM ALIMENTACION 12v 700ma O POE </v>
      </c>
      <c r="K349" s="2">
        <f>+EDITABLE!K374</f>
        <v>76.13</v>
      </c>
      <c r="L349" s="24">
        <f>+EDITABLE!L374</f>
        <v>0</v>
      </c>
    </row>
    <row r="350" spans="1:13" x14ac:dyDescent="0.25">
      <c r="A350" s="3" t="str">
        <f>+EDITABLE!A375</f>
        <v/>
      </c>
      <c r="B350" s="6">
        <f>+EDITABLE!B375</f>
        <v>0</v>
      </c>
      <c r="C350" s="3">
        <f>+EDITABLE!C375</f>
        <v>0</v>
      </c>
      <c r="D350" s="3">
        <f>+EDITABLE!D375</f>
        <v>0</v>
      </c>
      <c r="E350" s="3">
        <f>+EDITABLE!E375</f>
        <v>0</v>
      </c>
      <c r="F350" s="3">
        <f>+EDITABLE!F375</f>
        <v>0</v>
      </c>
      <c r="G350" s="5">
        <f>+EDITABLE!G375</f>
        <v>0</v>
      </c>
      <c r="H350" s="3">
        <f>+EDITABLE!H375</f>
        <v>0</v>
      </c>
      <c r="I350" s="3">
        <f>+EDITABLE!I375</f>
        <v>0</v>
      </c>
      <c r="J350" s="3">
        <f>+EDITABLE!J375</f>
        <v>0</v>
      </c>
      <c r="K350" s="2">
        <f>+EDITABLE!K375</f>
        <v>0</v>
      </c>
      <c r="L350" s="24">
        <f>+EDITABLE!L375</f>
        <v>0</v>
      </c>
    </row>
    <row r="351" spans="1:13" x14ac:dyDescent="0.25">
      <c r="A351" s="3" t="str">
        <f>+EDITABLE!A377</f>
        <v>PROYAULA-MEC</v>
      </c>
      <c r="B351" s="6">
        <f>+EDITABLE!B377</f>
        <v>1</v>
      </c>
      <c r="C351" s="3" t="str">
        <f>+EDITABLE!C377</f>
        <v>PROYECTOR</v>
      </c>
      <c r="D351" s="3" t="str">
        <f>+EDITABLE!D377</f>
        <v>NEGRO</v>
      </c>
      <c r="E351" s="3" t="str">
        <f>+EDITABLE!E377</f>
        <v>EPSON</v>
      </c>
      <c r="F351" s="3" t="str">
        <f>+EDITABLE!F377</f>
        <v>POWER LITE S12+</v>
      </c>
      <c r="G351" s="5" t="str">
        <f>+EDITABLE!G377</f>
        <v>PSPK3401963</v>
      </c>
      <c r="H351" s="3" t="str">
        <f>+EDITABLE!H377</f>
        <v>AULA-MEC</v>
      </c>
      <c r="I351" s="3" t="str">
        <f>+EDITABLE!I377</f>
        <v>REGULAR</v>
      </c>
      <c r="J351" s="3" t="str">
        <f>+EDITABLE!J377</f>
        <v>CON PEDESTAL, CABLE VGA DE 15 m. Y CABLE DE ENERGIA</v>
      </c>
      <c r="K351" s="2">
        <f>+EDITABLE!K377</f>
        <v>436</v>
      </c>
      <c r="L351" s="24">
        <f>+EDITABLE!L377</f>
        <v>45490</v>
      </c>
      <c r="M351">
        <v>25</v>
      </c>
    </row>
    <row r="352" spans="1:13" x14ac:dyDescent="0.25">
      <c r="A352" s="3" t="str">
        <f>+EDITABLE!A378</f>
        <v>PARLAULA-MEC</v>
      </c>
      <c r="B352" s="6">
        <f>+EDITABLE!B378</f>
        <v>1</v>
      </c>
      <c r="C352" s="3" t="str">
        <f>+EDITABLE!C378</f>
        <v>PARLANTES</v>
      </c>
      <c r="D352" s="3" t="str">
        <f>+EDITABLE!D378</f>
        <v>NEGRO</v>
      </c>
      <c r="E352" s="3" t="str">
        <f>+EDITABLE!E378</f>
        <v>KLIP EXTREME</v>
      </c>
      <c r="F352" s="3" t="str">
        <f>+EDITABLE!F378</f>
        <v>KSS-710</v>
      </c>
      <c r="G352" s="5" t="str">
        <f>+EDITABLE!G378</f>
        <v>13-11580</v>
      </c>
      <c r="H352" s="3" t="str">
        <f>+EDITABLE!H378</f>
        <v>AULA-MEC</v>
      </c>
      <c r="I352" s="3" t="str">
        <f>+EDITABLE!I378</f>
        <v>BUENO</v>
      </c>
      <c r="J352" s="3" t="str">
        <f>+EDITABLE!J378</f>
        <v>CON SOPORTE AEREO, CABLE DE SONIO DE 20 m. Y CABLE DE ENERGIA</v>
      </c>
      <c r="K352" s="2">
        <f>+EDITABLE!K378</f>
        <v>30</v>
      </c>
      <c r="L352" s="24">
        <f>+EDITABLE!L378</f>
        <v>45490</v>
      </c>
    </row>
    <row r="353" spans="1:13" x14ac:dyDescent="0.25">
      <c r="A353" s="3" t="str">
        <f>+EDITABLE!A379</f>
        <v/>
      </c>
      <c r="B353" s="6">
        <f>+EDITABLE!B379</f>
        <v>0</v>
      </c>
      <c r="C353" s="3">
        <f>+EDITABLE!C379</f>
        <v>0</v>
      </c>
      <c r="D353" s="3">
        <f>+EDITABLE!D379</f>
        <v>0</v>
      </c>
      <c r="E353" s="3">
        <f>+EDITABLE!E379</f>
        <v>0</v>
      </c>
      <c r="F353" s="3">
        <f>+EDITABLE!F379</f>
        <v>0</v>
      </c>
      <c r="G353" s="5">
        <f>+EDITABLE!G379</f>
        <v>0</v>
      </c>
      <c r="H353" s="3">
        <f>+EDITABLE!H379</f>
        <v>0</v>
      </c>
      <c r="I353" s="3">
        <f>+EDITABLE!I379</f>
        <v>0</v>
      </c>
      <c r="J353" s="3">
        <f>+EDITABLE!J379</f>
        <v>0</v>
      </c>
      <c r="K353" s="2">
        <f>+EDITABLE!K379</f>
        <v>0</v>
      </c>
      <c r="L353" s="24">
        <f>+EDITABLE!L379</f>
        <v>0</v>
      </c>
    </row>
    <row r="354" spans="1:13" x14ac:dyDescent="0.25">
      <c r="A354" s="3" t="str">
        <f>+EDITABLE!A380</f>
        <v/>
      </c>
      <c r="B354" s="6">
        <f>+EDITABLE!B380</f>
        <v>0</v>
      </c>
      <c r="C354" s="3">
        <f>+EDITABLE!C380</f>
        <v>0</v>
      </c>
      <c r="D354" s="3">
        <f>+EDITABLE!D380</f>
        <v>0</v>
      </c>
      <c r="E354" s="3">
        <f>+EDITABLE!E380</f>
        <v>0</v>
      </c>
      <c r="F354" s="3">
        <f>+EDITABLE!F380</f>
        <v>0</v>
      </c>
      <c r="G354" s="5">
        <f>+EDITABLE!G380</f>
        <v>0</v>
      </c>
      <c r="H354" s="3">
        <f>+EDITABLE!H380</f>
        <v>0</v>
      </c>
      <c r="I354" s="3">
        <f>+EDITABLE!I380</f>
        <v>0</v>
      </c>
      <c r="J354" s="3">
        <f>+EDITABLE!J380</f>
        <v>0</v>
      </c>
      <c r="K354" s="2">
        <f>+EDITABLE!K380</f>
        <v>0</v>
      </c>
      <c r="L354" s="24">
        <f>+EDITABLE!L380</f>
        <v>0</v>
      </c>
    </row>
    <row r="355" spans="1:13" x14ac:dyDescent="0.25">
      <c r="A355" s="3" t="str">
        <f>+EDITABLE!A381</f>
        <v/>
      </c>
      <c r="B355" s="6">
        <f>+EDITABLE!B381</f>
        <v>0</v>
      </c>
      <c r="C355" s="3">
        <f>+EDITABLE!C381</f>
        <v>0</v>
      </c>
      <c r="D355" s="3">
        <f>+EDITABLE!D381</f>
        <v>0</v>
      </c>
      <c r="E355" s="3">
        <f>+EDITABLE!E381</f>
        <v>0</v>
      </c>
      <c r="F355" s="3">
        <f>+EDITABLE!F381</f>
        <v>0</v>
      </c>
      <c r="G355" s="5">
        <f>+EDITABLE!G381</f>
        <v>0</v>
      </c>
      <c r="H355" s="3">
        <f>+EDITABLE!H381</f>
        <v>0</v>
      </c>
      <c r="I355" s="3">
        <f>+EDITABLE!I381</f>
        <v>0</v>
      </c>
      <c r="J355" s="3">
        <f>+EDITABLE!J381</f>
        <v>0</v>
      </c>
      <c r="K355" s="2">
        <f>+EDITABLE!K381</f>
        <v>0</v>
      </c>
      <c r="L355" s="24">
        <f>+EDITABLE!L381</f>
        <v>0</v>
      </c>
    </row>
    <row r="356" spans="1:13" x14ac:dyDescent="0.25">
      <c r="A356" s="3" t="str">
        <f>+EDITABLE!A383</f>
        <v>MODEHOSTAL</v>
      </c>
      <c r="B356" s="6">
        <f>+EDITABLE!B383</f>
        <v>1</v>
      </c>
      <c r="C356" s="3" t="str">
        <f>+EDITABLE!C383</f>
        <v>MODEM WIFI</v>
      </c>
      <c r="D356" s="3" t="str">
        <f>+EDITABLE!D383</f>
        <v>BLANCO</v>
      </c>
      <c r="E356" s="3" t="str">
        <f>+EDITABLE!E383</f>
        <v>MERCUSYS</v>
      </c>
      <c r="F356" s="3" t="str">
        <f>+EDITABLE!F383</f>
        <v>AC12G</v>
      </c>
      <c r="G356" s="5" t="str">
        <f>+EDITABLE!G383</f>
        <v>22132A8003937</v>
      </c>
      <c r="H356" s="3" t="str">
        <f>+EDITABLE!H383</f>
        <v>HOSTAL</v>
      </c>
      <c r="I356" s="3" t="str">
        <f>+EDITABLE!I383</f>
        <v>REGULAR</v>
      </c>
      <c r="J356" s="3" t="str">
        <f>+EDITABLE!J383</f>
        <v>DE 8 TOMAS PARA CABLE RJ45, CON CABLE DE ENERGIA</v>
      </c>
      <c r="K356" s="2">
        <f>+EDITABLE!K383</f>
        <v>80</v>
      </c>
      <c r="L356" s="24">
        <f>+EDITABLE!L383</f>
        <v>45392</v>
      </c>
      <c r="M356">
        <v>26</v>
      </c>
    </row>
    <row r="357" spans="1:13" x14ac:dyDescent="0.25">
      <c r="A357" s="3" t="str">
        <f>+EDITABLE!A384</f>
        <v/>
      </c>
      <c r="B357" s="6">
        <f>+EDITABLE!B384</f>
        <v>0</v>
      </c>
      <c r="C357" s="3">
        <f>+EDITABLE!C384</f>
        <v>0</v>
      </c>
      <c r="D357" s="3">
        <f>+EDITABLE!D384</f>
        <v>0</v>
      </c>
      <c r="E357" s="3">
        <f>+EDITABLE!E384</f>
        <v>0</v>
      </c>
      <c r="F357" s="3">
        <f>+EDITABLE!F384</f>
        <v>0</v>
      </c>
      <c r="G357" s="5">
        <f>+EDITABLE!G384</f>
        <v>0</v>
      </c>
      <c r="H357" s="3">
        <f>+EDITABLE!H384</f>
        <v>0</v>
      </c>
      <c r="I357" s="3">
        <f>+EDITABLE!I384</f>
        <v>0</v>
      </c>
      <c r="J357" s="3">
        <f>+EDITABLE!J384</f>
        <v>0</v>
      </c>
      <c r="K357" s="2">
        <f>+EDITABLE!K384</f>
        <v>0</v>
      </c>
      <c r="L357" s="24">
        <f>+EDITABLE!L384</f>
        <v>0</v>
      </c>
    </row>
    <row r="358" spans="1:13" x14ac:dyDescent="0.25">
      <c r="A358" s="3" t="e">
        <f>+EDITABLE!#REF!</f>
        <v>#REF!</v>
      </c>
      <c r="B358" s="6" t="e">
        <f>+EDITABLE!#REF!</f>
        <v>#REF!</v>
      </c>
      <c r="C358" s="3" t="e">
        <f>+EDITABLE!#REF!</f>
        <v>#REF!</v>
      </c>
      <c r="D358" s="3" t="e">
        <f>+EDITABLE!#REF!</f>
        <v>#REF!</v>
      </c>
      <c r="E358" s="3" t="e">
        <f>+EDITABLE!#REF!</f>
        <v>#REF!</v>
      </c>
      <c r="F358" s="3" t="e">
        <f>+EDITABLE!#REF!</f>
        <v>#REF!</v>
      </c>
      <c r="G358" s="5" t="e">
        <f>+EDITABLE!#REF!</f>
        <v>#REF!</v>
      </c>
      <c r="H358" s="3" t="e">
        <f>+EDITABLE!#REF!</f>
        <v>#REF!</v>
      </c>
      <c r="I358" s="3" t="e">
        <f>+EDITABLE!#REF!</f>
        <v>#REF!</v>
      </c>
      <c r="J358" s="3" t="e">
        <f>+EDITABLE!#REF!</f>
        <v>#REF!</v>
      </c>
      <c r="K358" s="2" t="e">
        <f>+EDITABLE!#REF!</f>
        <v>#REF!</v>
      </c>
      <c r="L358" s="24" t="e">
        <f>+EDITABLE!#REF!</f>
        <v>#REF!</v>
      </c>
    </row>
    <row r="359" spans="1:13" x14ac:dyDescent="0.25">
      <c r="A359" s="3" t="e">
        <f>+EDITABLE!#REF!</f>
        <v>#REF!</v>
      </c>
      <c r="B359" s="6" t="e">
        <f>+EDITABLE!#REF!</f>
        <v>#REF!</v>
      </c>
      <c r="C359" s="3" t="e">
        <f>+EDITABLE!#REF!</f>
        <v>#REF!</v>
      </c>
      <c r="D359" s="3" t="e">
        <f>+EDITABLE!#REF!</f>
        <v>#REF!</v>
      </c>
      <c r="E359" s="3" t="e">
        <f>+EDITABLE!#REF!</f>
        <v>#REF!</v>
      </c>
      <c r="F359" s="3" t="e">
        <f>+EDITABLE!#REF!</f>
        <v>#REF!</v>
      </c>
      <c r="G359" s="5" t="e">
        <f>+EDITABLE!#REF!</f>
        <v>#REF!</v>
      </c>
      <c r="H359" s="3" t="e">
        <f>+EDITABLE!#REF!</f>
        <v>#REF!</v>
      </c>
      <c r="I359" s="3" t="e">
        <f>+EDITABLE!#REF!</f>
        <v>#REF!</v>
      </c>
      <c r="J359" s="3" t="e">
        <f>+EDITABLE!#REF!</f>
        <v>#REF!</v>
      </c>
      <c r="K359" s="2" t="e">
        <f>+EDITABLE!#REF!</f>
        <v>#REF!</v>
      </c>
      <c r="L359" s="24" t="e">
        <f>+EDITABLE!#REF!</f>
        <v>#REF!</v>
      </c>
    </row>
    <row r="360" spans="1:13" x14ac:dyDescent="0.25">
      <c r="A360" s="3" t="str">
        <f>+EDITABLE!A388</f>
        <v>SERVCUARTO D</v>
      </c>
      <c r="B360" s="6">
        <f>+EDITABLE!B388</f>
        <v>1</v>
      </c>
      <c r="C360" s="3" t="str">
        <f>+EDITABLE!C388</f>
        <v>SERVIDOR DE RED</v>
      </c>
      <c r="D360" s="3" t="str">
        <f>+EDITABLE!D388</f>
        <v>NEGRO</v>
      </c>
      <c r="E360" s="3" t="str">
        <f>+EDITABLE!E388</f>
        <v>POWWEREDGE</v>
      </c>
      <c r="F360" s="3" t="str">
        <f>+EDITABLE!F388</f>
        <v>R230</v>
      </c>
      <c r="G360" s="5" t="str">
        <f>+EDITABLE!G388</f>
        <v>8T72D</v>
      </c>
      <c r="H360" s="3" t="str">
        <f>+EDITABLE!H388</f>
        <v>CUARTO DE RED</v>
      </c>
      <c r="I360" s="3" t="str">
        <f>+EDITABLE!I388</f>
        <v>BUENO</v>
      </c>
      <c r="J360" s="3" t="str">
        <f>+EDITABLE!J388</f>
        <v>3 REGLETAS PARA CABLES RJ45, 1 REGLETA ELECTRICA, SISTEMA OPERATIVO LINUX, ALOJA PAGINA WEB, PLATAFORMA EVA, TINE DOS DISCOS DUROS DE 2 TB CADA UNO</v>
      </c>
      <c r="K360" s="2">
        <f>+EDITABLE!K388</f>
        <v>2500</v>
      </c>
      <c r="L360" s="24">
        <f>+EDITABLE!L388</f>
        <v>44841</v>
      </c>
      <c r="M360">
        <v>27</v>
      </c>
    </row>
    <row r="361" spans="1:13" x14ac:dyDescent="0.25">
      <c r="A361" s="3" t="str">
        <f>+EDITABLE!A389</f>
        <v>DVRCUARTO D</v>
      </c>
      <c r="B361" s="6">
        <f>+EDITABLE!B389</f>
        <v>1</v>
      </c>
      <c r="C361" s="3" t="str">
        <f>+EDITABLE!C389</f>
        <v>DVR</v>
      </c>
      <c r="D361" s="3" t="str">
        <f>+EDITABLE!D389</f>
        <v>NEGRO</v>
      </c>
      <c r="E361" s="3" t="str">
        <f>+EDITABLE!E389</f>
        <v>PENTAHIBRIDO</v>
      </c>
      <c r="F361" s="3" t="str">
        <f>+EDITABLE!F389</f>
        <v>1080P</v>
      </c>
      <c r="G361" s="5">
        <f>+EDITABLE!G389</f>
        <v>300222370</v>
      </c>
      <c r="H361" s="3" t="str">
        <f>+EDITABLE!H389</f>
        <v>CUARTO DE RED</v>
      </c>
      <c r="I361" s="3" t="str">
        <f>+EDITABLE!I389</f>
        <v>BUENO</v>
      </c>
      <c r="J361" s="3" t="str">
        <f>+EDITABLE!J389</f>
        <v>CON 16 CANALES</v>
      </c>
      <c r="K361" s="2">
        <f>+EDITABLE!K389</f>
        <v>230</v>
      </c>
      <c r="L361" s="24">
        <f>+EDITABLE!L389</f>
        <v>44841</v>
      </c>
    </row>
    <row r="362" spans="1:13" x14ac:dyDescent="0.25">
      <c r="A362" s="3" t="str">
        <f>+EDITABLE!A390</f>
        <v>BASECUARTO D</v>
      </c>
      <c r="B362" s="6">
        <f>+EDITABLE!B390</f>
        <v>1</v>
      </c>
      <c r="C362" s="3" t="str">
        <f>+EDITABLE!C390</f>
        <v>BASE TELEFÓNICA</v>
      </c>
      <c r="D362" s="3" t="str">
        <f>+EDITABLE!D390</f>
        <v>NEGRO</v>
      </c>
      <c r="E362" s="3" t="str">
        <f>+EDITABLE!E390</f>
        <v>GRANDSTREAM</v>
      </c>
      <c r="F362" s="3" t="str">
        <f>+EDITABLE!F390</f>
        <v>UCM6301</v>
      </c>
      <c r="G362" s="5" t="str">
        <f>+EDITABLE!G390</f>
        <v>25QK6SYN519F8EA4</v>
      </c>
      <c r="H362" s="3" t="str">
        <f>+EDITABLE!H390</f>
        <v>CUARTO DE RED</v>
      </c>
      <c r="I362" s="3" t="str">
        <f>+EDITABLE!I390</f>
        <v>BUENO</v>
      </c>
      <c r="J362" s="3" t="str">
        <f>+EDITABLE!J390</f>
        <v>DE 8 PUERTOS</v>
      </c>
      <c r="K362" s="2">
        <f>+EDITABLE!K390</f>
        <v>200</v>
      </c>
      <c r="L362" s="24">
        <f>+EDITABLE!L390</f>
        <v>44841</v>
      </c>
    </row>
    <row r="363" spans="1:13" x14ac:dyDescent="0.25">
      <c r="A363" s="3" t="str">
        <f>+EDITABLE!A391</f>
        <v>UPS CUARTO D</v>
      </c>
      <c r="B363" s="6">
        <f>+EDITABLE!B391</f>
        <v>1</v>
      </c>
      <c r="C363" s="3" t="str">
        <f>+EDITABLE!C391</f>
        <v>UPS DE ENERGIA</v>
      </c>
      <c r="D363" s="3" t="str">
        <f>+EDITABLE!D391</f>
        <v>NEGRO</v>
      </c>
      <c r="E363" s="3" t="str">
        <f>+EDITABLE!E391</f>
        <v>TECHUPS-1500VA</v>
      </c>
      <c r="F363" s="3" t="str">
        <f>+EDITABLE!F391</f>
        <v>UPS 1500VA</v>
      </c>
      <c r="G363" s="5" t="str">
        <f>+EDITABLE!G391</f>
        <v>900W</v>
      </c>
      <c r="H363" s="3" t="str">
        <f>+EDITABLE!H391</f>
        <v>CUARTO DE RED</v>
      </c>
      <c r="I363" s="3" t="str">
        <f>+EDITABLE!I391</f>
        <v>BUENO</v>
      </c>
      <c r="J363" s="3" t="str">
        <f>+EDITABLE!J391</f>
        <v>ACUMULADOR DE ENERGIA POR 30 MINUTOS, POTENCIA MÁXIMA DE 2000VA PARA UNA PROTECCIÓN ENERGÉTICA EFICIENTE</v>
      </c>
      <c r="K363" s="2">
        <f>+EDITABLE!K391</f>
        <v>120</v>
      </c>
      <c r="L363" s="24">
        <f>+EDITABLE!L391</f>
        <v>44841</v>
      </c>
    </row>
    <row r="364" spans="1:13" x14ac:dyDescent="0.25">
      <c r="A364" s="3" t="str">
        <f>+EDITABLE!A392</f>
        <v>MONICUARTO D</v>
      </c>
      <c r="B364" s="6">
        <f>+EDITABLE!B392</f>
        <v>1</v>
      </c>
      <c r="C364" s="3" t="str">
        <f>+EDITABLE!C392</f>
        <v>MONITOR</v>
      </c>
      <c r="D364" s="3" t="str">
        <f>+EDITABLE!D392</f>
        <v>NEGRO</v>
      </c>
      <c r="E364" s="3" t="str">
        <f>+EDITABLE!E392</f>
        <v>LG</v>
      </c>
      <c r="F364" s="3" t="str">
        <f>+EDITABLE!F392</f>
        <v>GENERICO</v>
      </c>
      <c r="G364" s="5" t="str">
        <f>+EDITABLE!G392</f>
        <v>S/S</v>
      </c>
      <c r="H364" s="3" t="str">
        <f>+EDITABLE!H392</f>
        <v>CUARTO DE RED</v>
      </c>
      <c r="I364" s="3" t="str">
        <f>+EDITABLE!I392</f>
        <v>BUENO</v>
      </c>
      <c r="J364" s="3" t="str">
        <f>+EDITABLE!J392</f>
        <v>DE 19", CONECCIÓN VGA CON CABLE DE ENERGIA Y DATOS PARA VISUALIZAR LAS CÁMARAS DE SEGURIDAD</v>
      </c>
      <c r="K364" s="2">
        <f>+EDITABLE!K392</f>
        <v>60</v>
      </c>
      <c r="L364" s="24">
        <f>+EDITABLE!L392</f>
        <v>44841</v>
      </c>
    </row>
    <row r="365" spans="1:13" x14ac:dyDescent="0.25">
      <c r="A365" s="3" t="str">
        <f>+EDITABLE!A393</f>
        <v>MONICUARTO D</v>
      </c>
      <c r="B365" s="6">
        <f>+EDITABLE!B393</f>
        <v>1</v>
      </c>
      <c r="C365" s="3" t="str">
        <f>+EDITABLE!C393</f>
        <v>MONITOR</v>
      </c>
      <c r="D365" s="3" t="str">
        <f>+EDITABLE!D393</f>
        <v>NEGRO</v>
      </c>
      <c r="E365" s="3" t="str">
        <f>+EDITABLE!E393</f>
        <v>LG</v>
      </c>
      <c r="F365" s="3" t="str">
        <f>+EDITABLE!F393</f>
        <v>GENERICO</v>
      </c>
      <c r="G365" s="5" t="str">
        <f>+EDITABLE!G393</f>
        <v>S/S</v>
      </c>
      <c r="H365" s="3" t="str">
        <f>+EDITABLE!H393</f>
        <v>CUARTO DE RED</v>
      </c>
      <c r="I365" s="3" t="str">
        <f>+EDITABLE!I393</f>
        <v>BUENO</v>
      </c>
      <c r="J365" s="3" t="str">
        <f>+EDITABLE!J393</f>
        <v>DE 19", CONECCIÓN VGA CON CABLE DE ENERGIA Y DATOS PARA VISUALIZAR EL ESTADO DEL CPU (SERVIDOR SISTEMA CONTABLE)</v>
      </c>
      <c r="K365" s="2">
        <f>+EDITABLE!K393</f>
        <v>60</v>
      </c>
      <c r="L365" s="24">
        <f>+EDITABLE!L393</f>
        <v>44841</v>
      </c>
    </row>
    <row r="366" spans="1:13" x14ac:dyDescent="0.25">
      <c r="A366" s="3" t="str">
        <f>+EDITABLE!A394</f>
        <v>MOUSCUARTO D</v>
      </c>
      <c r="B366" s="6">
        <f>+EDITABLE!B394</f>
        <v>1</v>
      </c>
      <c r="C366" s="3" t="str">
        <f>+EDITABLE!C394</f>
        <v>MOUSE</v>
      </c>
      <c r="D366" s="3" t="str">
        <f>+EDITABLE!D394</f>
        <v>NEGRO</v>
      </c>
      <c r="E366" s="3" t="str">
        <f>+EDITABLE!E394</f>
        <v>GENERICO</v>
      </c>
      <c r="F366" s="3" t="str">
        <f>+EDITABLE!F394</f>
        <v>S/M</v>
      </c>
      <c r="G366" s="5" t="str">
        <f>+EDITABLE!G394</f>
        <v>S/S</v>
      </c>
      <c r="H366" s="3" t="str">
        <f>+EDITABLE!H394</f>
        <v>CUARTO DE RED</v>
      </c>
      <c r="I366" s="3" t="str">
        <f>+EDITABLE!I394</f>
        <v>BUENO</v>
      </c>
      <c r="J366" s="3" t="str">
        <f>+EDITABLE!J394</f>
        <v>ALAMBRICO, LUZ LED, DISEÑO ERGOÓMICO</v>
      </c>
      <c r="K366" s="2">
        <f>+EDITABLE!K394</f>
        <v>6</v>
      </c>
      <c r="L366" s="24">
        <f>+EDITABLE!L394</f>
        <v>44841</v>
      </c>
    </row>
    <row r="367" spans="1:13" x14ac:dyDescent="0.25">
      <c r="A367" s="3" t="str">
        <f>+EDITABLE!A395</f>
        <v>CPUCUARTO D</v>
      </c>
      <c r="B367" s="6">
        <f>+EDITABLE!B395</f>
        <v>1</v>
      </c>
      <c r="C367" s="3" t="str">
        <f>+EDITABLE!C395</f>
        <v>CPU</v>
      </c>
      <c r="D367" s="3" t="str">
        <f>+EDITABLE!D395</f>
        <v>NEGRO</v>
      </c>
      <c r="E367" s="3" t="str">
        <f>+EDITABLE!E395</f>
        <v>ARES</v>
      </c>
      <c r="F367" s="3" t="str">
        <f>+EDITABLE!F395</f>
        <v>GENERICO</v>
      </c>
      <c r="G367" s="5" t="str">
        <f>+EDITABLE!G395</f>
        <v>S/S</v>
      </c>
      <c r="H367" s="3" t="str">
        <f>+EDITABLE!H395</f>
        <v>CUARTO DE RED</v>
      </c>
      <c r="I367" s="3" t="str">
        <f>+EDITABLE!I395</f>
        <v>BUENO</v>
      </c>
      <c r="J367" s="3" t="str">
        <f>+EDITABLE!J395</f>
        <v>WINDOWS 7 INTERPRISE, PROCESADOR: INTEL ® R CORE TM i7-3770 CPU, 3.40 GHZ, RAM 8 GB, 64 BITS, SIN CONECCIÓN A INTERNET</v>
      </c>
      <c r="K367" s="2">
        <f>+EDITABLE!K395</f>
        <v>250</v>
      </c>
      <c r="L367" s="24">
        <f>+EDITABLE!L395</f>
        <v>44841</v>
      </c>
    </row>
    <row r="368" spans="1:13" x14ac:dyDescent="0.25">
      <c r="A368" s="3" t="e">
        <f>+EDITABLE!#REF!</f>
        <v>#REF!</v>
      </c>
      <c r="B368" s="6" t="e">
        <f>+EDITABLE!#REF!</f>
        <v>#REF!</v>
      </c>
      <c r="C368" s="3" t="e">
        <f>+EDITABLE!#REF!</f>
        <v>#REF!</v>
      </c>
      <c r="D368" s="3" t="e">
        <f>+EDITABLE!#REF!</f>
        <v>#REF!</v>
      </c>
      <c r="E368" s="3" t="e">
        <f>+EDITABLE!#REF!</f>
        <v>#REF!</v>
      </c>
      <c r="F368" s="3" t="e">
        <f>+EDITABLE!#REF!</f>
        <v>#REF!</v>
      </c>
      <c r="G368" s="5" t="e">
        <f>+EDITABLE!#REF!</f>
        <v>#REF!</v>
      </c>
      <c r="H368" s="3" t="e">
        <f>+EDITABLE!#REF!</f>
        <v>#REF!</v>
      </c>
      <c r="I368" s="3" t="e">
        <f>+EDITABLE!#REF!</f>
        <v>#REF!</v>
      </c>
      <c r="J368" s="3" t="e">
        <f>+EDITABLE!#REF!</f>
        <v>#REF!</v>
      </c>
      <c r="K368" s="2" t="e">
        <f>+EDITABLE!#REF!</f>
        <v>#REF!</v>
      </c>
      <c r="L368" s="24" t="e">
        <f>+EDITABLE!#REF!</f>
        <v>#REF!</v>
      </c>
    </row>
    <row r="369" spans="1:13" x14ac:dyDescent="0.25">
      <c r="A369" s="3" t="e">
        <f>+EDITABLE!#REF!</f>
        <v>#REF!</v>
      </c>
      <c r="B369" s="6" t="e">
        <f>+EDITABLE!#REF!</f>
        <v>#REF!</v>
      </c>
      <c r="C369" s="3" t="e">
        <f>+EDITABLE!#REF!</f>
        <v>#REF!</v>
      </c>
      <c r="D369" s="3" t="e">
        <f>+EDITABLE!#REF!</f>
        <v>#REF!</v>
      </c>
      <c r="E369" s="3" t="e">
        <f>+EDITABLE!#REF!</f>
        <v>#REF!</v>
      </c>
      <c r="F369" s="3" t="e">
        <f>+EDITABLE!#REF!</f>
        <v>#REF!</v>
      </c>
      <c r="G369" s="5" t="e">
        <f>+EDITABLE!#REF!</f>
        <v>#REF!</v>
      </c>
      <c r="H369" s="3" t="e">
        <f>+EDITABLE!#REF!</f>
        <v>#REF!</v>
      </c>
      <c r="I369" s="3" t="e">
        <f>+EDITABLE!#REF!</f>
        <v>#REF!</v>
      </c>
      <c r="J369" s="3" t="e">
        <f>+EDITABLE!#REF!</f>
        <v>#REF!</v>
      </c>
      <c r="K369" s="2" t="e">
        <f>+EDITABLE!#REF!</f>
        <v>#REF!</v>
      </c>
      <c r="L369" s="24" t="e">
        <f>+EDITABLE!#REF!</f>
        <v>#REF!</v>
      </c>
    </row>
    <row r="370" spans="1:13" x14ac:dyDescent="0.25">
      <c r="A370" s="3" t="e">
        <f>+EDITABLE!#REF!</f>
        <v>#REF!</v>
      </c>
      <c r="B370" s="6" t="e">
        <f>+EDITABLE!#REF!</f>
        <v>#REF!</v>
      </c>
      <c r="C370" s="3" t="e">
        <f>+EDITABLE!#REF!</f>
        <v>#REF!</v>
      </c>
      <c r="D370" s="3" t="e">
        <f>+EDITABLE!#REF!</f>
        <v>#REF!</v>
      </c>
      <c r="E370" s="3" t="e">
        <f>+EDITABLE!#REF!</f>
        <v>#REF!</v>
      </c>
      <c r="F370" s="3" t="e">
        <f>+EDITABLE!#REF!</f>
        <v>#REF!</v>
      </c>
      <c r="G370" s="5" t="e">
        <f>+EDITABLE!#REF!</f>
        <v>#REF!</v>
      </c>
      <c r="H370" s="3" t="e">
        <f>+EDITABLE!#REF!</f>
        <v>#REF!</v>
      </c>
      <c r="I370" s="3" t="e">
        <f>+EDITABLE!#REF!</f>
        <v>#REF!</v>
      </c>
      <c r="J370" s="3" t="e">
        <f>+EDITABLE!#REF!</f>
        <v>#REF!</v>
      </c>
      <c r="K370" s="2" t="e">
        <f>+EDITABLE!#REF!</f>
        <v>#REF!</v>
      </c>
      <c r="L370" s="24" t="e">
        <f>+EDITABLE!#REF!</f>
        <v>#REF!</v>
      </c>
    </row>
    <row r="371" spans="1:13" x14ac:dyDescent="0.25">
      <c r="A371" s="3" t="str">
        <f>+EDITABLE!A403</f>
        <v>TECLBODEGA G</v>
      </c>
      <c r="B371" s="6">
        <f>+EDITABLE!B403</f>
        <v>1</v>
      </c>
      <c r="C371" s="3" t="str">
        <f>+EDITABLE!C403</f>
        <v>TECLADO</v>
      </c>
      <c r="D371" s="3" t="str">
        <f>+EDITABLE!D403</f>
        <v>NEGRO</v>
      </c>
      <c r="E371" s="3" t="str">
        <f>+EDITABLE!E403</f>
        <v>GENIUS</v>
      </c>
      <c r="F371" s="3" t="str">
        <f>+EDITABLE!F403</f>
        <v>GK-100011</v>
      </c>
      <c r="G371" s="5" t="str">
        <f>+EDITABLE!G403</f>
        <v>WE150EB12192</v>
      </c>
      <c r="H371" s="3" t="str">
        <f>+EDITABLE!H403</f>
        <v>BODEGA GRANDE</v>
      </c>
      <c r="I371" s="3" t="str">
        <f>+EDITABLE!I403</f>
        <v>BUENO</v>
      </c>
      <c r="J371" s="3" t="str">
        <f>+EDITABLE!J403</f>
        <v>ALAMBRICO, CONECTOR USB, COMPATIBLE PARA JUEGOS, TECLADO NUMÉRICO.</v>
      </c>
      <c r="K371" s="2">
        <f>+EDITABLE!K403</f>
        <v>10</v>
      </c>
      <c r="L371" s="24">
        <f>+EDITABLE!L403</f>
        <v>44292</v>
      </c>
      <c r="M371">
        <v>28</v>
      </c>
    </row>
    <row r="372" spans="1:13" x14ac:dyDescent="0.25">
      <c r="A372" s="3" t="str">
        <f>+EDITABLE!A404</f>
        <v>TECLBODEGA G</v>
      </c>
      <c r="B372" s="6">
        <f>+EDITABLE!B404</f>
        <v>1</v>
      </c>
      <c r="C372" s="3" t="str">
        <f>+EDITABLE!C404</f>
        <v>TECLADO</v>
      </c>
      <c r="D372" s="3" t="str">
        <f>+EDITABLE!D404</f>
        <v>NEGRO</v>
      </c>
      <c r="E372" s="3" t="str">
        <f>+EDITABLE!E404</f>
        <v>DELUX</v>
      </c>
      <c r="F372" s="3" t="str">
        <f>+EDITABLE!F404</f>
        <v>K5015</v>
      </c>
      <c r="G372" s="5" t="str">
        <f>+EDITABLE!G404</f>
        <v>K50151110000420</v>
      </c>
      <c r="H372" s="3" t="str">
        <f>+EDITABLE!H404</f>
        <v>BODEGA GRANDE</v>
      </c>
      <c r="I372" s="3" t="str">
        <f>+EDITABLE!I404</f>
        <v>BUENO</v>
      </c>
      <c r="J372" s="3" t="str">
        <f>+EDITABLE!J404</f>
        <v>ALAMBRICO, HERGONÓMICO, VARIOS USOS, CONECTOR USB</v>
      </c>
      <c r="K372" s="2">
        <f>+EDITABLE!K404</f>
        <v>12</v>
      </c>
      <c r="L372" s="24">
        <f>+EDITABLE!L404</f>
        <v>44292</v>
      </c>
    </row>
    <row r="373" spans="1:13" x14ac:dyDescent="0.25">
      <c r="A373" s="3" t="str">
        <f>+EDITABLE!A405</f>
        <v>TECLBODEGA G</v>
      </c>
      <c r="B373" s="6">
        <f>+EDITABLE!B405</f>
        <v>1</v>
      </c>
      <c r="C373" s="3" t="str">
        <f>+EDITABLE!C405</f>
        <v>TECLADO</v>
      </c>
      <c r="D373" s="3" t="str">
        <f>+EDITABLE!D405</f>
        <v>NEGRO</v>
      </c>
      <c r="E373" s="3" t="str">
        <f>+EDITABLE!E405</f>
        <v>ALTEK</v>
      </c>
      <c r="F373" s="3" t="str">
        <f>+EDITABLE!F405</f>
        <v>S/M</v>
      </c>
      <c r="G373" s="5" t="str">
        <f>+EDITABLE!G405</f>
        <v>6808110701472</v>
      </c>
      <c r="H373" s="3" t="str">
        <f>+EDITABLE!H405</f>
        <v>BODEGA GRANDE</v>
      </c>
      <c r="I373" s="3" t="str">
        <f>+EDITABLE!I405</f>
        <v>BUENO</v>
      </c>
      <c r="J373" s="3" t="str">
        <f>+EDITABLE!J405</f>
        <v>ALAMBRICO, HERGONÓMICO, VARIOS USOS, CONECTOR USB</v>
      </c>
      <c r="K373" s="2">
        <f>+EDITABLE!K405</f>
        <v>12</v>
      </c>
      <c r="L373" s="24">
        <f>+EDITABLE!L405</f>
        <v>44292</v>
      </c>
    </row>
    <row r="374" spans="1:13" x14ac:dyDescent="0.25">
      <c r="A374" s="3" t="str">
        <f>+EDITABLE!A406</f>
        <v>TECLBODEGA G</v>
      </c>
      <c r="B374" s="6">
        <f>+EDITABLE!B406</f>
        <v>1</v>
      </c>
      <c r="C374" s="3" t="str">
        <f>+EDITABLE!C406</f>
        <v>TECLADO</v>
      </c>
      <c r="D374" s="3" t="str">
        <f>+EDITABLE!D406</f>
        <v>NEGRO</v>
      </c>
      <c r="E374" s="3" t="str">
        <f>+EDITABLE!E406</f>
        <v>INS</v>
      </c>
      <c r="F374" s="3" t="str">
        <f>+EDITABLE!F406</f>
        <v>S/M</v>
      </c>
      <c r="G374" s="5" t="str">
        <f>+EDITABLE!G406</f>
        <v>S/S</v>
      </c>
      <c r="H374" s="3" t="str">
        <f>+EDITABLE!H406</f>
        <v>BODEGA GRANDE</v>
      </c>
      <c r="I374" s="3" t="str">
        <f>+EDITABLE!I406</f>
        <v>BUENO</v>
      </c>
      <c r="J374" s="3" t="str">
        <f>+EDITABLE!J406</f>
        <v>ALAMBRICO, HERGONÓMICO, CONECTOR USB, CON TECLADO NUMÉRICO</v>
      </c>
      <c r="K374" s="2">
        <f>+EDITABLE!K406</f>
        <v>12</v>
      </c>
      <c r="L374" s="24">
        <f>+EDITABLE!L406</f>
        <v>44292</v>
      </c>
    </row>
    <row r="375" spans="1:13" x14ac:dyDescent="0.25">
      <c r="A375" s="3" t="str">
        <f>+EDITABLE!A407</f>
        <v>TECLBODEGA G</v>
      </c>
      <c r="B375" s="6">
        <f>+EDITABLE!B407</f>
        <v>1</v>
      </c>
      <c r="C375" s="3" t="str">
        <f>+EDITABLE!C407</f>
        <v>TECLADO</v>
      </c>
      <c r="D375" s="3" t="str">
        <f>+EDITABLE!D407</f>
        <v>NEGRO</v>
      </c>
      <c r="E375" s="3" t="str">
        <f>+EDITABLE!E407</f>
        <v>DELUX</v>
      </c>
      <c r="F375" s="3" t="str">
        <f>+EDITABLE!F407</f>
        <v>K5015</v>
      </c>
      <c r="G375" s="5" t="str">
        <f>+EDITABLE!G407</f>
        <v>K50151110000447</v>
      </c>
      <c r="H375" s="3" t="str">
        <f>+EDITABLE!H407</f>
        <v>BODEGA GRANDE</v>
      </c>
      <c r="I375" s="3" t="str">
        <f>+EDITABLE!I407</f>
        <v>BUENO</v>
      </c>
      <c r="J375" s="3" t="str">
        <f>+EDITABLE!J407</f>
        <v>ALAMBRICO, HERGONÓMICO, VARIOS USOS, CONECTOR USB</v>
      </c>
      <c r="K375" s="2">
        <f>+EDITABLE!K407</f>
        <v>12</v>
      </c>
      <c r="L375" s="24">
        <f>+EDITABLE!L407</f>
        <v>44292</v>
      </c>
    </row>
    <row r="376" spans="1:13" x14ac:dyDescent="0.25">
      <c r="A376" s="3" t="str">
        <f>+EDITABLE!A408</f>
        <v>TECLBODEGA G</v>
      </c>
      <c r="B376" s="6">
        <f>+EDITABLE!B408</f>
        <v>1</v>
      </c>
      <c r="C376" s="3" t="str">
        <f>+EDITABLE!C408</f>
        <v>TECLADO</v>
      </c>
      <c r="D376" s="3" t="str">
        <f>+EDITABLE!D408</f>
        <v>NEGRO/GRIS</v>
      </c>
      <c r="E376" s="3" t="str">
        <f>+EDITABLE!E408</f>
        <v>HAVIT</v>
      </c>
      <c r="F376" s="3" t="str">
        <f>+EDITABLE!F408</f>
        <v>HV-K802M</v>
      </c>
      <c r="G376" s="5" t="str">
        <f>+EDITABLE!G408</f>
        <v>KB11K802KL</v>
      </c>
      <c r="H376" s="3" t="str">
        <f>+EDITABLE!H408</f>
        <v>BODEGA GRANDE</v>
      </c>
      <c r="I376" s="3" t="str">
        <f>+EDITABLE!I408</f>
        <v>BUENO</v>
      </c>
      <c r="J376" s="3" t="str">
        <f>+EDITABLE!J408</f>
        <v>ALAMBRICO, HERGONÓMICO, VARIOS USOS, CONECTOR USB</v>
      </c>
      <c r="K376" s="2">
        <f>+EDITABLE!K408</f>
        <v>12</v>
      </c>
      <c r="L376" s="24">
        <f>+EDITABLE!L408</f>
        <v>44292</v>
      </c>
    </row>
    <row r="377" spans="1:13" x14ac:dyDescent="0.25">
      <c r="A377" s="3" t="str">
        <f>+EDITABLE!A409</f>
        <v>MOUSBODEGA G</v>
      </c>
      <c r="B377" s="6">
        <f>+EDITABLE!B409</f>
        <v>2</v>
      </c>
      <c r="C377" s="3" t="str">
        <f>+EDITABLE!C409</f>
        <v>MOUSE</v>
      </c>
      <c r="D377" s="3" t="str">
        <f>+EDITABLE!D409</f>
        <v>NEGRO</v>
      </c>
      <c r="E377" s="3" t="str">
        <f>+EDITABLE!E409</f>
        <v>GENIUS</v>
      </c>
      <c r="F377" s="3" t="str">
        <f>+EDITABLE!F409</f>
        <v>GB-080025</v>
      </c>
      <c r="G377" s="5" t="str">
        <f>+EDITABLE!G409</f>
        <v>X74919101105</v>
      </c>
      <c r="H377" s="3" t="str">
        <f>+EDITABLE!H409</f>
        <v>BODEGA GRANDE</v>
      </c>
      <c r="I377" s="3" t="str">
        <f>+EDITABLE!I409</f>
        <v>BUENO</v>
      </c>
      <c r="J377" s="3" t="str">
        <f>+EDITABLE!J409</f>
        <v>ALAMBRICO, LED, DISEÑO ERGONÓMICO</v>
      </c>
      <c r="K377" s="2" t="e">
        <f>+EDITABLE!#REF!</f>
        <v>#REF!</v>
      </c>
      <c r="L377" s="24">
        <f>+EDITABLE!L409</f>
        <v>44292</v>
      </c>
    </row>
    <row r="378" spans="1:13" x14ac:dyDescent="0.25">
      <c r="A378" s="3" t="str">
        <f>+EDITABLE!A424</f>
        <v>PANTBODEGA G</v>
      </c>
      <c r="B378" s="6">
        <f>+EDITABLE!B424</f>
        <v>2</v>
      </c>
      <c r="C378" s="3" t="str">
        <f>+EDITABLE!C424</f>
        <v>PANTALLAS PARA PROYECTOR</v>
      </c>
      <c r="D378" s="3" t="str">
        <f>+EDITABLE!D424</f>
        <v>BLANCO</v>
      </c>
      <c r="E378" s="3" t="str">
        <f>+EDITABLE!E424</f>
        <v>VEGA</v>
      </c>
      <c r="F378" s="3" t="str">
        <f>+EDITABLE!F424</f>
        <v>S/M</v>
      </c>
      <c r="G378" s="5" t="str">
        <f>+EDITABLE!G424</f>
        <v>03872915</v>
      </c>
      <c r="H378" s="3" t="str">
        <f>+EDITABLE!H424</f>
        <v>BODEGA GRANDE</v>
      </c>
      <c r="I378" s="3" t="str">
        <f>+EDITABLE!I424</f>
        <v>BUENO</v>
      </c>
      <c r="J378" s="3" t="str">
        <f>+EDITABLE!J424</f>
        <v>PANTALLA PLEGABLE DE 120 PULGADAS</v>
      </c>
      <c r="K378" s="2">
        <f>+EDITABLE!K424</f>
        <v>65.73</v>
      </c>
      <c r="L378" s="24">
        <f>+EDITABLE!L424</f>
        <v>44292</v>
      </c>
    </row>
    <row r="379" spans="1:13" x14ac:dyDescent="0.25">
      <c r="A379" s="3" t="str">
        <f>+EDITABLE!A425</f>
        <v>PANTBODEGA G</v>
      </c>
      <c r="B379" s="6">
        <f>+EDITABLE!B425</f>
        <v>1</v>
      </c>
      <c r="C379" s="3" t="str">
        <f>+EDITABLE!C425</f>
        <v>PANTALLAS PARA PROYECTOR</v>
      </c>
      <c r="D379" s="3" t="str">
        <f>+EDITABLE!D425</f>
        <v>BLANCO</v>
      </c>
      <c r="E379" s="3" t="str">
        <f>+EDITABLE!E425</f>
        <v>DINON</v>
      </c>
      <c r="F379" s="3" t="str">
        <f>+EDITABLE!F425</f>
        <v>S/M</v>
      </c>
      <c r="G379" s="5" t="str">
        <f>+EDITABLE!G425</f>
        <v>YM381238</v>
      </c>
      <c r="H379" s="3" t="str">
        <f>+EDITABLE!H425</f>
        <v>BODEGA GRANDE</v>
      </c>
      <c r="I379" s="3" t="str">
        <f>+EDITABLE!I425</f>
        <v>BUENO</v>
      </c>
      <c r="J379" s="3" t="str">
        <f>+EDITABLE!J425</f>
        <v>PANTALLA PLEGABLE DE 40 PULGADAS</v>
      </c>
      <c r="K379" s="2">
        <f>+EDITABLE!K425</f>
        <v>29.47</v>
      </c>
      <c r="L379" s="24">
        <f>+EDITABLE!L425</f>
        <v>44292</v>
      </c>
    </row>
    <row r="380" spans="1:13" x14ac:dyDescent="0.25">
      <c r="A380" s="3" t="str">
        <f>+EDITABLE!A426</f>
        <v>CABLBODEGA G</v>
      </c>
      <c r="B380" s="6">
        <f>+EDITABLE!B426</f>
        <v>3</v>
      </c>
      <c r="C380" s="3" t="str">
        <f>+EDITABLE!C426</f>
        <v xml:space="preserve">CABLES DE RED </v>
      </c>
      <c r="D380" s="3" t="str">
        <f>+EDITABLE!D426</f>
        <v>NEGRO/GRIS/AZUL</v>
      </c>
      <c r="E380" s="3" t="str">
        <f>+EDITABLE!E426</f>
        <v>S/M</v>
      </c>
      <c r="F380" s="3" t="str">
        <f>+EDITABLE!F426</f>
        <v>S/M</v>
      </c>
      <c r="G380" s="5" t="str">
        <f>+EDITABLE!G426</f>
        <v>S/S</v>
      </c>
      <c r="H380" s="3" t="str">
        <f>+EDITABLE!H426</f>
        <v>BODEGA GRANDE</v>
      </c>
      <c r="I380" s="3" t="str">
        <f>+EDITABLE!I426</f>
        <v>BUENO</v>
      </c>
      <c r="J380" s="3" t="str">
        <f>+EDITABLE!J426</f>
        <v>CON PUERTOS RJ45 DE 20 METROS</v>
      </c>
      <c r="K380" s="2">
        <f>+EDITABLE!K426</f>
        <v>30</v>
      </c>
      <c r="L380" s="24">
        <f>+EDITABLE!L426</f>
        <v>44292</v>
      </c>
    </row>
    <row r="381" spans="1:13" x14ac:dyDescent="0.25">
      <c r="A381" s="3" t="str">
        <f>+EDITABLE!A427</f>
        <v>CABLBODEGA G</v>
      </c>
      <c r="B381" s="6">
        <f>+EDITABLE!B427</f>
        <v>1</v>
      </c>
      <c r="C381" s="3" t="str">
        <f>+EDITABLE!C427</f>
        <v>CABLE DE RED</v>
      </c>
      <c r="D381" s="3" t="str">
        <f>+EDITABLE!D427</f>
        <v>BLANCO</v>
      </c>
      <c r="E381" s="3" t="str">
        <f>+EDITABLE!E427</f>
        <v>S/M</v>
      </c>
      <c r="F381" s="3" t="str">
        <f>+EDITABLE!F427</f>
        <v>S/M</v>
      </c>
      <c r="G381" s="5" t="str">
        <f>+EDITABLE!G427</f>
        <v>S/S</v>
      </c>
      <c r="H381" s="3" t="str">
        <f>+EDITABLE!H427</f>
        <v>BODEGA GRANDE</v>
      </c>
      <c r="I381" s="3" t="str">
        <f>+EDITABLE!I427</f>
        <v>BUENO</v>
      </c>
      <c r="J381" s="3" t="str">
        <f>+EDITABLE!J427</f>
        <v>CON PUERTOS RJ45 DE 5 METROS</v>
      </c>
      <c r="K381" s="2">
        <f>+EDITABLE!K427</f>
        <v>4</v>
      </c>
      <c r="L381" s="24">
        <f>+EDITABLE!L427</f>
        <v>44292</v>
      </c>
    </row>
    <row r="382" spans="1:13" x14ac:dyDescent="0.25">
      <c r="A382" s="3" t="str">
        <f>+EDITABLE!A428</f>
        <v>CABLBODEGA G</v>
      </c>
      <c r="B382" s="6">
        <f>+EDITABLE!B428</f>
        <v>5</v>
      </c>
      <c r="C382" s="3" t="str">
        <f>+EDITABLE!C428</f>
        <v>CABLES VGA</v>
      </c>
      <c r="D382" s="3" t="str">
        <f>+EDITABLE!D428</f>
        <v>NEGRO AZUL</v>
      </c>
      <c r="E382" s="3" t="str">
        <f>+EDITABLE!E428</f>
        <v>S/M</v>
      </c>
      <c r="F382" s="3" t="str">
        <f>+EDITABLE!F428</f>
        <v>S/M</v>
      </c>
      <c r="G382" s="5" t="str">
        <f>+EDITABLE!G428</f>
        <v>S/S</v>
      </c>
      <c r="H382" s="3" t="str">
        <f>+EDITABLE!H428</f>
        <v>BODEGA GRANDE</v>
      </c>
      <c r="I382" s="3" t="str">
        <f>+EDITABLE!I428</f>
        <v>BUENO</v>
      </c>
      <c r="J382" s="3" t="str">
        <f>+EDITABLE!J428</f>
        <v>CON PUERTOS VGA DE 1.5 METROS</v>
      </c>
      <c r="K382" s="2">
        <f>+EDITABLE!K428</f>
        <v>4</v>
      </c>
      <c r="L382" s="24">
        <f>+EDITABLE!L428</f>
        <v>44841</v>
      </c>
    </row>
    <row r="383" spans="1:13" x14ac:dyDescent="0.25">
      <c r="A383" s="3" t="str">
        <f>+EDITABLE!A429</f>
        <v>CABLBODEGA G</v>
      </c>
      <c r="B383" s="6">
        <f>+EDITABLE!B429</f>
        <v>3</v>
      </c>
      <c r="C383" s="3" t="str">
        <f>+EDITABLE!C429</f>
        <v>CABLES VGA</v>
      </c>
      <c r="D383" s="3" t="str">
        <f>+EDITABLE!D429</f>
        <v>NEGRO</v>
      </c>
      <c r="E383" s="3" t="str">
        <f>+EDITABLE!E429</f>
        <v>S/M</v>
      </c>
      <c r="F383" s="3" t="str">
        <f>+EDITABLE!F429</f>
        <v>S/M</v>
      </c>
      <c r="G383" s="5" t="str">
        <f>+EDITABLE!G429</f>
        <v>S/S</v>
      </c>
      <c r="H383" s="3" t="str">
        <f>+EDITABLE!H429</f>
        <v>BODEGA GRANDE</v>
      </c>
      <c r="I383" s="3" t="str">
        <f>+EDITABLE!I429</f>
        <v>BUENO</v>
      </c>
      <c r="J383" s="3" t="str">
        <f>+EDITABLE!J429</f>
        <v>CON PÚERTOS CGA DE 15 METROS</v>
      </c>
      <c r="K383" s="2">
        <f>+EDITABLE!K429</f>
        <v>30</v>
      </c>
      <c r="L383" s="24">
        <f>+EDITABLE!L429</f>
        <v>44841</v>
      </c>
    </row>
    <row r="384" spans="1:13" x14ac:dyDescent="0.25">
      <c r="A384" s="3" t="str">
        <f>+EDITABLE!A430</f>
        <v>CABLBODEGA G</v>
      </c>
      <c r="B384" s="6">
        <f>+EDITABLE!B430</f>
        <v>3</v>
      </c>
      <c r="C384" s="3" t="str">
        <f>+EDITABLE!C430</f>
        <v>CABLES HDMI</v>
      </c>
      <c r="D384" s="3" t="str">
        <f>+EDITABLE!D430</f>
        <v>NEGRO</v>
      </c>
      <c r="E384" s="3" t="str">
        <f>+EDITABLE!E430</f>
        <v>S/M</v>
      </c>
      <c r="F384" s="3" t="str">
        <f>+EDITABLE!F430</f>
        <v>S/M</v>
      </c>
      <c r="G384" s="5" t="str">
        <f>+EDITABLE!G430</f>
        <v>S/S</v>
      </c>
      <c r="H384" s="3" t="str">
        <f>+EDITABLE!H430</f>
        <v>BODEGA GRANDE</v>
      </c>
      <c r="I384" s="3" t="str">
        <f>+EDITABLE!I430</f>
        <v>BUENO</v>
      </c>
      <c r="J384" s="3" t="str">
        <f>+EDITABLE!J430</f>
        <v>CON PUERTOS HDMI DE 1.5 METROS</v>
      </c>
      <c r="K384" s="2">
        <f>+EDITABLE!K430</f>
        <v>36</v>
      </c>
      <c r="L384" s="24">
        <f>+EDITABLE!L430</f>
        <v>44841</v>
      </c>
    </row>
    <row r="385" spans="1:12" x14ac:dyDescent="0.25">
      <c r="A385" s="3" t="str">
        <f>+EDITABLE!A431</f>
        <v>CABLBODEGA G</v>
      </c>
      <c r="B385" s="6">
        <f>+EDITABLE!B431</f>
        <v>1</v>
      </c>
      <c r="C385" s="3" t="str">
        <f>+EDITABLE!C431</f>
        <v>CABLE HDMI</v>
      </c>
      <c r="D385" s="3" t="str">
        <f>+EDITABLE!D431</f>
        <v>NEGRO/ROJO</v>
      </c>
      <c r="E385" s="3" t="str">
        <f>+EDITABLE!E431</f>
        <v>S/M</v>
      </c>
      <c r="F385" s="3" t="str">
        <f>+EDITABLE!F431</f>
        <v>S/M</v>
      </c>
      <c r="G385" s="5" t="str">
        <f>+EDITABLE!G431</f>
        <v>S/S</v>
      </c>
      <c r="H385" s="3" t="str">
        <f>+EDITABLE!H431</f>
        <v>BODEGA GRANDE</v>
      </c>
      <c r="I385" s="3" t="str">
        <f>+EDITABLE!I431</f>
        <v>BUENO</v>
      </c>
      <c r="J385" s="3" t="str">
        <f>+EDITABLE!J431</f>
        <v>CON PUERTOS HDMI DE 15 METROS</v>
      </c>
      <c r="K385" s="2">
        <f>+EDITABLE!K431</f>
        <v>15</v>
      </c>
      <c r="L385" s="24">
        <f>+EDITABLE!L431</f>
        <v>44841</v>
      </c>
    </row>
    <row r="386" spans="1:12" x14ac:dyDescent="0.25">
      <c r="A386" s="3" t="str">
        <f>+EDITABLE!A432</f>
        <v>CONVBODEGA G</v>
      </c>
      <c r="B386" s="6">
        <f>+EDITABLE!B432</f>
        <v>1</v>
      </c>
      <c r="C386" s="3" t="str">
        <f>+EDITABLE!C432</f>
        <v>CONVERTIDOR VGA/HDMI</v>
      </c>
      <c r="D386" s="3" t="str">
        <f>+EDITABLE!D432</f>
        <v>BLANCO</v>
      </c>
      <c r="E386" s="3" t="str">
        <f>+EDITABLE!E432</f>
        <v>MINI</v>
      </c>
      <c r="F386" s="3" t="str">
        <f>+EDITABLE!F432</f>
        <v>S/M</v>
      </c>
      <c r="G386" s="5" t="str">
        <f>+EDITABLE!G432</f>
        <v>S/S</v>
      </c>
      <c r="H386" s="3" t="str">
        <f>+EDITABLE!H432</f>
        <v>BODEGA GRANDE</v>
      </c>
      <c r="I386" s="3" t="str">
        <f>+EDITABLE!I432</f>
        <v>BUENO</v>
      </c>
      <c r="J386" s="3" t="str">
        <f>+EDITABLE!J432</f>
        <v>CONVIERTE LA SEÑAL VGA A HDMI</v>
      </c>
      <c r="K386" s="2">
        <f>+EDITABLE!K432</f>
        <v>4</v>
      </c>
      <c r="L386" s="24">
        <f>+EDITABLE!L432</f>
        <v>44841</v>
      </c>
    </row>
    <row r="387" spans="1:12" x14ac:dyDescent="0.25">
      <c r="A387" s="3" t="str">
        <f>+EDITABLE!A433</f>
        <v>CABLBODEGA G</v>
      </c>
      <c r="B387" s="6">
        <f>+EDITABLE!B433</f>
        <v>5</v>
      </c>
      <c r="C387" s="3" t="str">
        <f>+EDITABLE!C433</f>
        <v>CABLES DE PODER</v>
      </c>
      <c r="D387" s="3" t="str">
        <f>+EDITABLE!D433</f>
        <v>NEGRO</v>
      </c>
      <c r="E387" s="3" t="str">
        <f>+EDITABLE!E433</f>
        <v>S/M</v>
      </c>
      <c r="F387" s="3" t="str">
        <f>+EDITABLE!F433</f>
        <v>S/M</v>
      </c>
      <c r="G387" s="5" t="str">
        <f>+EDITABLE!G433</f>
        <v>S/S</v>
      </c>
      <c r="H387" s="3" t="str">
        <f>+EDITABLE!H433</f>
        <v>BODEGA GRANDE</v>
      </c>
      <c r="I387" s="3" t="str">
        <f>+EDITABLE!I433</f>
        <v>BUENO</v>
      </c>
      <c r="J387" s="3" t="str">
        <f>+EDITABLE!J433</f>
        <v>CABLES DE ENERGIA PARA PC DE 1.5 METROS</v>
      </c>
      <c r="K387" s="2">
        <f>+EDITABLE!K433</f>
        <v>7.5</v>
      </c>
      <c r="L387" s="24">
        <f>+EDITABLE!L433</f>
        <v>44841</v>
      </c>
    </row>
    <row r="388" spans="1:12" x14ac:dyDescent="0.25">
      <c r="A388" s="3" t="str">
        <f>+EDITABLE!A434</f>
        <v>CABLBODEGA G</v>
      </c>
      <c r="B388" s="6">
        <f>+EDITABLE!B434</f>
        <v>2</v>
      </c>
      <c r="C388" s="3" t="str">
        <f>+EDITABLE!C434</f>
        <v>CABLES DE ENERGIA GEMELO</v>
      </c>
      <c r="D388" s="3" t="str">
        <f>+EDITABLE!D434</f>
        <v>NEGRO</v>
      </c>
      <c r="E388" s="3" t="str">
        <f>+EDITABLE!E434</f>
        <v>S/M</v>
      </c>
      <c r="F388" s="3" t="str">
        <f>+EDITABLE!F434</f>
        <v>S/M</v>
      </c>
      <c r="G388" s="5" t="str">
        <f>+EDITABLE!G434</f>
        <v>S/S</v>
      </c>
      <c r="H388" s="3" t="str">
        <f>+EDITABLE!H434</f>
        <v>BODEGA GRANDE</v>
      </c>
      <c r="I388" s="3" t="str">
        <f>+EDITABLE!I434</f>
        <v>BUENO</v>
      </c>
      <c r="J388" s="3" t="str">
        <f>+EDITABLE!J434</f>
        <v>CABLES DE ENERGIA DE 1.5 METROS</v>
      </c>
      <c r="K388" s="2">
        <f>+EDITABLE!K434</f>
        <v>2</v>
      </c>
      <c r="L388" s="24">
        <f>+EDITABLE!L434</f>
        <v>44292</v>
      </c>
    </row>
    <row r="389" spans="1:12" x14ac:dyDescent="0.25">
      <c r="A389" s="3" t="str">
        <f>+EDITABLE!A435</f>
        <v>CABLBODEGA G</v>
      </c>
      <c r="B389" s="6">
        <f>+EDITABLE!B435</f>
        <v>1</v>
      </c>
      <c r="C389" s="3" t="str">
        <f>+EDITABLE!C435</f>
        <v>CABLE DE SONIDO</v>
      </c>
      <c r="D389" s="3" t="str">
        <f>+EDITABLE!D435</f>
        <v xml:space="preserve">TRANSPARENTE </v>
      </c>
      <c r="E389" s="3" t="str">
        <f>+EDITABLE!E435</f>
        <v>S/M</v>
      </c>
      <c r="F389" s="3" t="str">
        <f>+EDITABLE!F435</f>
        <v>S/M</v>
      </c>
      <c r="G389" s="5" t="str">
        <f>+EDITABLE!G435</f>
        <v>S/S</v>
      </c>
      <c r="H389" s="3" t="str">
        <f>+EDITABLE!H435</f>
        <v>BODEGA GRANDE</v>
      </c>
      <c r="I389" s="3" t="str">
        <f>+EDITABLE!I435</f>
        <v>BUENO</v>
      </c>
      <c r="J389" s="3" t="str">
        <f>+EDITABLE!J435</f>
        <v>CABLE DE SONIDO PARA PARLANTES</v>
      </c>
      <c r="K389" s="2">
        <f>+EDITABLE!K435</f>
        <v>10</v>
      </c>
      <c r="L389" s="24">
        <f>+EDITABLE!L435</f>
        <v>44841</v>
      </c>
    </row>
    <row r="390" spans="1:12" x14ac:dyDescent="0.25">
      <c r="A390" s="3" t="str">
        <f>+EDITABLE!A436</f>
        <v>CABLBODEGA G</v>
      </c>
      <c r="B390" s="6">
        <f>+EDITABLE!B436</f>
        <v>1</v>
      </c>
      <c r="C390" s="3" t="str">
        <f>+EDITABLE!C436</f>
        <v>CABLE DE RED UTP</v>
      </c>
      <c r="D390" s="3" t="str">
        <f>+EDITABLE!D436</f>
        <v>NEGRO</v>
      </c>
      <c r="E390" s="3" t="str">
        <f>+EDITABLE!E436</f>
        <v>S/M</v>
      </c>
      <c r="F390" s="3" t="str">
        <f>+EDITABLE!F436</f>
        <v>S/M</v>
      </c>
      <c r="G390" s="5" t="str">
        <f>+EDITABLE!G436</f>
        <v>S/S</v>
      </c>
      <c r="H390" s="3" t="str">
        <f>+EDITABLE!H436</f>
        <v>BODEGA GRANDE</v>
      </c>
      <c r="I390" s="3" t="str">
        <f>+EDITABLE!I436</f>
        <v>BUENO</v>
      </c>
      <c r="J390" s="3" t="str">
        <f>+EDITABLE!J436</f>
        <v>CABLE DE RED UTP PARA CONECCIÓN A INTERNET</v>
      </c>
      <c r="K390" s="2">
        <f>+EDITABLE!K436</f>
        <v>15</v>
      </c>
      <c r="L390" s="24">
        <f>+EDITABLE!L436</f>
        <v>44292</v>
      </c>
    </row>
    <row r="391" spans="1:12" x14ac:dyDescent="0.25">
      <c r="A391" s="3" t="str">
        <f>+EDITABLE!A437</f>
        <v>CABLBODEGA G</v>
      </c>
      <c r="B391" s="6">
        <f>+EDITABLE!B437</f>
        <v>4</v>
      </c>
      <c r="C391" s="3" t="str">
        <f>+EDITABLE!C437</f>
        <v>CABLE DE DATOS IMPRESORA</v>
      </c>
      <c r="D391" s="3" t="str">
        <f>+EDITABLE!D437</f>
        <v>BLANCO</v>
      </c>
      <c r="E391" s="3" t="str">
        <f>+EDITABLE!E437</f>
        <v>S/M</v>
      </c>
      <c r="F391" s="3" t="str">
        <f>+EDITABLE!F437</f>
        <v>S/M</v>
      </c>
      <c r="G391" s="5" t="str">
        <f>+EDITABLE!G437</f>
        <v>S/S</v>
      </c>
      <c r="H391" s="3" t="str">
        <f>+EDITABLE!H437</f>
        <v>BODEGA GRANDE</v>
      </c>
      <c r="I391" s="3" t="str">
        <f>+EDITABLE!I437</f>
        <v>BUENO</v>
      </c>
      <c r="J391" s="3" t="str">
        <f>+EDITABLE!J437</f>
        <v>CONECTIVIDAD DEL PC CON LA IMPRESORA</v>
      </c>
      <c r="K391" s="2">
        <f>+EDITABLE!K437</f>
        <v>4</v>
      </c>
      <c r="L391" s="24">
        <f>+EDITABLE!L437</f>
        <v>44292</v>
      </c>
    </row>
    <row r="392" spans="1:12" x14ac:dyDescent="0.25">
      <c r="A392" s="3" t="str">
        <f>+EDITABLE!A438</f>
        <v>REGUBODEGA G</v>
      </c>
      <c r="B392" s="6">
        <f>+EDITABLE!B438</f>
        <v>1</v>
      </c>
      <c r="C392" s="3" t="str">
        <f>+EDITABLE!C438</f>
        <v>REGULADOR DE VOLTAJE</v>
      </c>
      <c r="D392" s="3" t="str">
        <f>+EDITABLE!D438</f>
        <v>NEGRO</v>
      </c>
      <c r="E392" s="3" t="str">
        <f>+EDITABLE!E438</f>
        <v>FORZA</v>
      </c>
      <c r="F392" s="3" t="str">
        <f>+EDITABLE!F438</f>
        <v>FVR-1221USB</v>
      </c>
      <c r="G392" s="5" t="str">
        <f>+EDITABLE!G438</f>
        <v>2405-18637791</v>
      </c>
      <c r="H392" s="3" t="str">
        <f>+EDITABLE!H438</f>
        <v>BODEGA GRANDE</v>
      </c>
      <c r="I392" s="3" t="str">
        <f>+EDITABLE!I438</f>
        <v>BUENO</v>
      </c>
      <c r="J392" s="3" t="str">
        <f>+EDITABLE!J438</f>
        <v>DE 8 TOMAS Y 2 DE USB</v>
      </c>
      <c r="K392" s="2">
        <f>+EDITABLE!K438</f>
        <v>30</v>
      </c>
      <c r="L392" s="24">
        <f>+EDITABLE!L438</f>
        <v>44292</v>
      </c>
    </row>
    <row r="393" spans="1:12" x14ac:dyDescent="0.25">
      <c r="A393" s="3" t="str">
        <f>+EDITABLE!A439</f>
        <v>PROYBODEGA G</v>
      </c>
      <c r="B393" s="6">
        <f>+EDITABLE!B439</f>
        <v>1</v>
      </c>
      <c r="C393" s="3" t="str">
        <f>+EDITABLE!C439</f>
        <v>PROYECTOR</v>
      </c>
      <c r="D393" s="3" t="str">
        <f>+EDITABLE!D439</f>
        <v>NEGRO</v>
      </c>
      <c r="E393" s="3" t="str">
        <f>+EDITABLE!E439</f>
        <v>EPSON</v>
      </c>
      <c r="F393" s="3" t="str">
        <f>+EDITABLE!F439</f>
        <v>POWERLITE S18+</v>
      </c>
      <c r="G393" s="5" t="str">
        <f>+EDITABLE!G439</f>
        <v>H552A</v>
      </c>
      <c r="H393" s="3" t="str">
        <f>+EDITABLE!H439</f>
        <v>BODEGA GRANDE</v>
      </c>
      <c r="I393" s="3" t="str">
        <f>+EDITABLE!I439</f>
        <v>BUENO</v>
      </c>
      <c r="J393" s="3" t="str">
        <f>+EDITABLE!J439</f>
        <v>CONECCIÓN VGA Y HDMI</v>
      </c>
      <c r="K393" s="2">
        <f>+EDITABLE!K439</f>
        <v>400</v>
      </c>
      <c r="L393" s="24">
        <f>+EDITABLE!L439</f>
        <v>45288</v>
      </c>
    </row>
    <row r="394" spans="1:12" x14ac:dyDescent="0.25">
      <c r="A394" s="3" t="str">
        <f>+EDITABLE!A440</f>
        <v/>
      </c>
      <c r="B394" s="6">
        <f>+EDITABLE!B440</f>
        <v>0</v>
      </c>
      <c r="C394" s="3">
        <f>+EDITABLE!C440</f>
        <v>0</v>
      </c>
      <c r="D394" s="3">
        <f>+EDITABLE!D440</f>
        <v>0</v>
      </c>
      <c r="E394" s="3">
        <f>+EDITABLE!E440</f>
        <v>0</v>
      </c>
      <c r="F394" s="3">
        <f>+EDITABLE!F440</f>
        <v>0</v>
      </c>
      <c r="G394" s="5">
        <f>+EDITABLE!G440</f>
        <v>0</v>
      </c>
      <c r="H394" s="3">
        <f>+EDITABLE!H440</f>
        <v>0</v>
      </c>
      <c r="I394" s="3">
        <f>+EDITABLE!I440</f>
        <v>0</v>
      </c>
      <c r="J394" s="3">
        <f>+EDITABLE!J440</f>
        <v>0</v>
      </c>
      <c r="K394" s="2">
        <f>+EDITABLE!K440</f>
        <v>0</v>
      </c>
      <c r="L394" s="24">
        <f>+EDITABLE!L440</f>
        <v>0</v>
      </c>
    </row>
    <row r="395" spans="1:12" x14ac:dyDescent="0.25">
      <c r="A395" s="3" t="str">
        <f>+EDITABLE!A441</f>
        <v/>
      </c>
      <c r="B395" s="6">
        <f>+EDITABLE!B441</f>
        <v>0</v>
      </c>
      <c r="C395" s="3">
        <f>+EDITABLE!C441</f>
        <v>0</v>
      </c>
      <c r="D395" s="3">
        <f>+EDITABLE!D441</f>
        <v>0</v>
      </c>
      <c r="E395" s="3">
        <f>+EDITABLE!E441</f>
        <v>0</v>
      </c>
      <c r="F395" s="3">
        <f>+EDITABLE!F441</f>
        <v>0</v>
      </c>
      <c r="G395" s="5">
        <f>+EDITABLE!G441</f>
        <v>0</v>
      </c>
      <c r="H395" s="3">
        <f>+EDITABLE!H441</f>
        <v>0</v>
      </c>
      <c r="I395" s="3">
        <f>+EDITABLE!I441</f>
        <v>0</v>
      </c>
      <c r="J395" s="3">
        <f>+EDITABLE!J441</f>
        <v>0</v>
      </c>
      <c r="K395" s="2">
        <f>+EDITABLE!K441</f>
        <v>0</v>
      </c>
      <c r="L395" s="24">
        <f>+EDITABLE!L441</f>
        <v>0</v>
      </c>
    </row>
    <row r="396" spans="1:12" x14ac:dyDescent="0.25">
      <c r="A396" s="3">
        <f>+EDITABLE!A443</f>
        <v>0</v>
      </c>
      <c r="B396" s="6">
        <f>+EDITABLE!B443</f>
        <v>0</v>
      </c>
      <c r="C396" s="3">
        <f>+EDITABLE!C443</f>
        <v>0</v>
      </c>
      <c r="D396" s="3">
        <f>+EDITABLE!D443</f>
        <v>0</v>
      </c>
      <c r="E396" s="3">
        <f>+EDITABLE!E443</f>
        <v>0</v>
      </c>
      <c r="F396" s="3">
        <f>+EDITABLE!F443</f>
        <v>0</v>
      </c>
      <c r="G396" s="5">
        <f>+EDITABLE!G443</f>
        <v>0</v>
      </c>
      <c r="H396" s="3" t="str">
        <f>+EDITABLE!H443</f>
        <v>DE BAJA</v>
      </c>
      <c r="I396" s="3">
        <f>+EDITABLE!I443</f>
        <v>0</v>
      </c>
      <c r="J396" s="3">
        <f>+EDITABLE!J443</f>
        <v>0</v>
      </c>
      <c r="K396" s="2">
        <f>+EDITABLE!K443</f>
        <v>0</v>
      </c>
      <c r="L396" s="24">
        <f>+EDITABLE!L443</f>
        <v>0</v>
      </c>
    </row>
    <row r="397" spans="1:12" x14ac:dyDescent="0.25">
      <c r="A397" s="3">
        <f>+EDITABLE!A444</f>
        <v>0</v>
      </c>
      <c r="B397" s="6">
        <f>+EDITABLE!B444</f>
        <v>0</v>
      </c>
      <c r="C397" s="3">
        <f>+EDITABLE!C444</f>
        <v>0</v>
      </c>
      <c r="D397" s="3">
        <f>+EDITABLE!D444</f>
        <v>0</v>
      </c>
      <c r="E397" s="3">
        <f>+EDITABLE!E444</f>
        <v>0</v>
      </c>
      <c r="F397" s="3">
        <f>+EDITABLE!F444</f>
        <v>0</v>
      </c>
      <c r="G397" s="5">
        <f>+EDITABLE!G444</f>
        <v>0</v>
      </c>
      <c r="H397" s="3">
        <f>+EDITABLE!H444</f>
        <v>0</v>
      </c>
      <c r="I397" s="3">
        <f>+EDITABLE!I444</f>
        <v>0</v>
      </c>
      <c r="J397" s="3">
        <f>+EDITABLE!J444</f>
        <v>0</v>
      </c>
      <c r="K397" s="2">
        <f>+EDITABLE!K444</f>
        <v>0</v>
      </c>
      <c r="L397" s="24">
        <f>+EDITABLE!L444</f>
        <v>0</v>
      </c>
    </row>
    <row r="398" spans="1:12" x14ac:dyDescent="0.25">
      <c r="A398" s="3">
        <f>+EDITABLE!A445</f>
        <v>0</v>
      </c>
      <c r="B398" s="6">
        <f>+EDITABLE!B445</f>
        <v>0</v>
      </c>
      <c r="C398" s="3">
        <f>+EDITABLE!C445</f>
        <v>0</v>
      </c>
      <c r="D398" s="3">
        <f>+EDITABLE!D445</f>
        <v>0</v>
      </c>
      <c r="E398" s="3">
        <f>+EDITABLE!E445</f>
        <v>0</v>
      </c>
      <c r="F398" s="3">
        <f>+EDITABLE!F445</f>
        <v>0</v>
      </c>
      <c r="G398" s="5">
        <f>+EDITABLE!G445</f>
        <v>0</v>
      </c>
      <c r="H398" s="3">
        <f>+EDITABLE!H445</f>
        <v>0</v>
      </c>
      <c r="I398" s="3">
        <f>+EDITABLE!I445</f>
        <v>0</v>
      </c>
      <c r="J398" s="3">
        <f>+EDITABLE!J445</f>
        <v>0</v>
      </c>
      <c r="K398" s="2">
        <f>+EDITABLE!K445</f>
        <v>0</v>
      </c>
      <c r="L398" s="24">
        <f>+EDITABLE!L445</f>
        <v>0</v>
      </c>
    </row>
    <row r="399" spans="1:12" x14ac:dyDescent="0.25">
      <c r="A399" s="3">
        <f>+EDITABLE!A446</f>
        <v>0</v>
      </c>
      <c r="B399" s="6">
        <f>+EDITABLE!B446</f>
        <v>0</v>
      </c>
      <c r="C399" s="3">
        <f>+EDITABLE!C446</f>
        <v>0</v>
      </c>
      <c r="D399" s="3">
        <f>+EDITABLE!D446</f>
        <v>0</v>
      </c>
      <c r="E399" s="3">
        <f>+EDITABLE!E446</f>
        <v>0</v>
      </c>
      <c r="F399" s="3">
        <f>+EDITABLE!F446</f>
        <v>0</v>
      </c>
      <c r="G399" s="5">
        <f>+EDITABLE!G446</f>
        <v>0</v>
      </c>
      <c r="H399" s="3">
        <f>+EDITABLE!H446</f>
        <v>0</v>
      </c>
      <c r="I399" s="3">
        <f>+EDITABLE!I446</f>
        <v>0</v>
      </c>
      <c r="J399" s="3">
        <f>+EDITABLE!J446</f>
        <v>0</v>
      </c>
      <c r="K399" s="2">
        <f>+EDITABLE!K446</f>
        <v>0</v>
      </c>
      <c r="L399" s="24">
        <f>+EDITABLE!L446</f>
        <v>0</v>
      </c>
    </row>
    <row r="400" spans="1:12" x14ac:dyDescent="0.25">
      <c r="A400" s="3">
        <f>+EDITABLE!A447</f>
        <v>0</v>
      </c>
      <c r="B400" s="6">
        <f>+EDITABLE!B447</f>
        <v>0</v>
      </c>
      <c r="C400" s="3">
        <f>+EDITABLE!C447</f>
        <v>0</v>
      </c>
      <c r="D400" s="3">
        <f>+EDITABLE!D447</f>
        <v>0</v>
      </c>
      <c r="E400" s="3">
        <f>+EDITABLE!E447</f>
        <v>0</v>
      </c>
      <c r="F400" s="3">
        <f>+EDITABLE!F447</f>
        <v>0</v>
      </c>
      <c r="G400" s="5">
        <f>+EDITABLE!G447</f>
        <v>0</v>
      </c>
      <c r="H400" s="3">
        <f>+EDITABLE!H447</f>
        <v>0</v>
      </c>
      <c r="I400" s="3">
        <f>+EDITABLE!I447</f>
        <v>0</v>
      </c>
      <c r="J400" s="3">
        <f>+EDITABLE!J447</f>
        <v>0</v>
      </c>
      <c r="K400" s="2">
        <f>+EDITABLE!K447</f>
        <v>0</v>
      </c>
      <c r="L400" s="24">
        <f>+EDITABLE!L447</f>
        <v>0</v>
      </c>
    </row>
    <row r="401" spans="1:12" x14ac:dyDescent="0.25">
      <c r="A401" s="3">
        <f>+EDITABLE!A448</f>
        <v>0</v>
      </c>
      <c r="B401" s="6">
        <f>+EDITABLE!B448</f>
        <v>0</v>
      </c>
      <c r="C401" s="3">
        <f>+EDITABLE!C448</f>
        <v>0</v>
      </c>
      <c r="D401" s="3">
        <f>+EDITABLE!D448</f>
        <v>0</v>
      </c>
      <c r="E401" s="3">
        <f>+EDITABLE!E448</f>
        <v>0</v>
      </c>
      <c r="F401" s="3">
        <f>+EDITABLE!F448</f>
        <v>0</v>
      </c>
      <c r="G401" s="5">
        <f>+EDITABLE!G448</f>
        <v>0</v>
      </c>
      <c r="H401" s="3">
        <f>+EDITABLE!H448</f>
        <v>0</v>
      </c>
      <c r="I401" s="3">
        <f>+EDITABLE!I448</f>
        <v>0</v>
      </c>
      <c r="J401" s="3">
        <f>+EDITABLE!J448</f>
        <v>0</v>
      </c>
      <c r="K401" s="2">
        <f>+EDITABLE!K448</f>
        <v>0</v>
      </c>
      <c r="L401" s="24">
        <f>+EDITABLE!L448</f>
        <v>0</v>
      </c>
    </row>
    <row r="402" spans="1:12" x14ac:dyDescent="0.25">
      <c r="A402" s="3">
        <f>+EDITABLE!A449</f>
        <v>0</v>
      </c>
      <c r="B402" s="6">
        <f>+EDITABLE!B449</f>
        <v>0</v>
      </c>
      <c r="C402" s="3">
        <f>+EDITABLE!C449</f>
        <v>0</v>
      </c>
      <c r="D402" s="3">
        <f>+EDITABLE!D449</f>
        <v>0</v>
      </c>
      <c r="E402" s="3">
        <f>+EDITABLE!E449</f>
        <v>0</v>
      </c>
      <c r="F402" s="3">
        <f>+EDITABLE!F449</f>
        <v>0</v>
      </c>
      <c r="G402" s="5">
        <f>+EDITABLE!G449</f>
        <v>0</v>
      </c>
      <c r="H402" s="3">
        <f>+EDITABLE!H449</f>
        <v>0</v>
      </c>
      <c r="I402" s="3">
        <f>+EDITABLE!I449</f>
        <v>0</v>
      </c>
      <c r="J402" s="3">
        <f>+EDITABLE!J449</f>
        <v>0</v>
      </c>
      <c r="K402" s="2">
        <f>+EDITABLE!K449</f>
        <v>0</v>
      </c>
      <c r="L402" s="24">
        <f>+EDITABLE!L449</f>
        <v>0</v>
      </c>
    </row>
    <row r="403" spans="1:12" x14ac:dyDescent="0.25">
      <c r="A403" s="3">
        <f>+EDITABLE!A450</f>
        <v>0</v>
      </c>
      <c r="B403" s="6">
        <f>+EDITABLE!B450</f>
        <v>0</v>
      </c>
      <c r="C403" s="3">
        <f>+EDITABLE!C450</f>
        <v>0</v>
      </c>
      <c r="D403" s="3">
        <f>+EDITABLE!D450</f>
        <v>0</v>
      </c>
      <c r="E403" s="3">
        <f>+EDITABLE!E450</f>
        <v>0</v>
      </c>
      <c r="F403" s="3">
        <f>+EDITABLE!F450</f>
        <v>0</v>
      </c>
      <c r="G403" s="5">
        <f>+EDITABLE!G450</f>
        <v>0</v>
      </c>
      <c r="H403" s="3">
        <f>+EDITABLE!H450</f>
        <v>0</v>
      </c>
      <c r="I403" s="3">
        <f>+EDITABLE!I450</f>
        <v>0</v>
      </c>
      <c r="J403" s="3">
        <f>+EDITABLE!J450</f>
        <v>0</v>
      </c>
      <c r="K403" s="2">
        <f>+EDITABLE!K450</f>
        <v>0</v>
      </c>
      <c r="L403" s="24">
        <f>+EDITABLE!L450</f>
        <v>0</v>
      </c>
    </row>
    <row r="404" spans="1:12" x14ac:dyDescent="0.25">
      <c r="A404" s="3">
        <f>+EDITABLE!A451</f>
        <v>0</v>
      </c>
      <c r="B404" s="6">
        <f>+EDITABLE!B451</f>
        <v>0</v>
      </c>
      <c r="C404" s="3">
        <f>+EDITABLE!C451</f>
        <v>0</v>
      </c>
      <c r="D404" s="3">
        <f>+EDITABLE!D451</f>
        <v>0</v>
      </c>
      <c r="E404" s="3">
        <f>+EDITABLE!E451</f>
        <v>0</v>
      </c>
      <c r="F404" s="3">
        <f>+EDITABLE!F451</f>
        <v>0</v>
      </c>
      <c r="G404" s="5">
        <f>+EDITABLE!G451</f>
        <v>0</v>
      </c>
      <c r="H404" s="3">
        <f>+EDITABLE!H451</f>
        <v>0</v>
      </c>
      <c r="I404" s="3">
        <f>+EDITABLE!I451</f>
        <v>0</v>
      </c>
      <c r="J404" s="3">
        <f>+EDITABLE!J451</f>
        <v>0</v>
      </c>
      <c r="K404" s="2">
        <f>+EDITABLE!K451</f>
        <v>0</v>
      </c>
      <c r="L404" s="24">
        <f>+EDITABLE!L451</f>
        <v>0</v>
      </c>
    </row>
    <row r="405" spans="1:12" x14ac:dyDescent="0.25">
      <c r="A405" s="3">
        <f>+EDITABLE!A452</f>
        <v>0</v>
      </c>
      <c r="B405" s="6">
        <f>+EDITABLE!B452</f>
        <v>0</v>
      </c>
      <c r="C405" s="3">
        <f>+EDITABLE!C452</f>
        <v>0</v>
      </c>
      <c r="D405" s="3">
        <f>+EDITABLE!D452</f>
        <v>0</v>
      </c>
      <c r="E405" s="3">
        <f>+EDITABLE!E452</f>
        <v>0</v>
      </c>
      <c r="F405" s="3">
        <f>+EDITABLE!F452</f>
        <v>0</v>
      </c>
      <c r="G405" s="5">
        <f>+EDITABLE!G452</f>
        <v>0</v>
      </c>
      <c r="H405" s="3">
        <f>+EDITABLE!H452</f>
        <v>0</v>
      </c>
      <c r="I405" s="3">
        <f>+EDITABLE!I452</f>
        <v>0</v>
      </c>
      <c r="J405" s="3">
        <f>+EDITABLE!J452</f>
        <v>0</v>
      </c>
      <c r="K405" s="2">
        <f>+EDITABLE!K452</f>
        <v>0</v>
      </c>
      <c r="L405" s="24">
        <f>+EDITABLE!L452</f>
        <v>0</v>
      </c>
    </row>
    <row r="406" spans="1:12" x14ac:dyDescent="0.25">
      <c r="A406" s="3">
        <f>+EDITABLE!A453</f>
        <v>0</v>
      </c>
      <c r="B406" s="6">
        <f>+EDITABLE!B453</f>
        <v>0</v>
      </c>
      <c r="C406" s="3">
        <f>+EDITABLE!C453</f>
        <v>0</v>
      </c>
      <c r="D406" s="3">
        <f>+EDITABLE!D453</f>
        <v>0</v>
      </c>
      <c r="E406" s="3">
        <f>+EDITABLE!E453</f>
        <v>0</v>
      </c>
      <c r="F406" s="3">
        <f>+EDITABLE!F453</f>
        <v>0</v>
      </c>
      <c r="G406" s="5">
        <f>+EDITABLE!G453</f>
        <v>0</v>
      </c>
      <c r="H406" s="3">
        <f>+EDITABLE!H453</f>
        <v>0</v>
      </c>
      <c r="I406" s="3">
        <f>+EDITABLE!I453</f>
        <v>0</v>
      </c>
      <c r="J406" s="3">
        <f>+EDITABLE!J453</f>
        <v>0</v>
      </c>
      <c r="K406" s="2">
        <f>+EDITABLE!K453</f>
        <v>0</v>
      </c>
      <c r="L406" s="24">
        <f>+EDITABLE!L453</f>
        <v>0</v>
      </c>
    </row>
    <row r="407" spans="1:12" x14ac:dyDescent="0.25">
      <c r="A407" s="3">
        <f>+EDITABLE!A454</f>
        <v>0</v>
      </c>
      <c r="B407" s="6">
        <f>+EDITABLE!B454</f>
        <v>0</v>
      </c>
      <c r="C407" s="3">
        <f>+EDITABLE!C454</f>
        <v>0</v>
      </c>
      <c r="D407" s="3">
        <f>+EDITABLE!D454</f>
        <v>0</v>
      </c>
      <c r="E407" s="3">
        <f>+EDITABLE!E454</f>
        <v>0</v>
      </c>
      <c r="F407" s="3">
        <f>+EDITABLE!F454</f>
        <v>0</v>
      </c>
      <c r="G407" s="5">
        <f>+EDITABLE!G454</f>
        <v>0</v>
      </c>
      <c r="H407" s="3">
        <f>+EDITABLE!H454</f>
        <v>0</v>
      </c>
      <c r="I407" s="3">
        <f>+EDITABLE!I454</f>
        <v>0</v>
      </c>
      <c r="J407" s="3">
        <f>+EDITABLE!J454</f>
        <v>0</v>
      </c>
      <c r="K407" s="2">
        <f>+EDITABLE!K454</f>
        <v>0</v>
      </c>
      <c r="L407" s="24">
        <f>+EDITABLE!L454</f>
        <v>0</v>
      </c>
    </row>
    <row r="408" spans="1:12" x14ac:dyDescent="0.25">
      <c r="A408" s="3">
        <f>+EDITABLE!A455</f>
        <v>0</v>
      </c>
      <c r="B408" s="6">
        <f>+EDITABLE!B455</f>
        <v>0</v>
      </c>
      <c r="C408" s="3">
        <f>+EDITABLE!C455</f>
        <v>0</v>
      </c>
      <c r="D408" s="3">
        <f>+EDITABLE!D455</f>
        <v>0</v>
      </c>
      <c r="E408" s="3">
        <f>+EDITABLE!E455</f>
        <v>0</v>
      </c>
      <c r="F408" s="3">
        <f>+EDITABLE!F455</f>
        <v>0</v>
      </c>
      <c r="G408" s="5">
        <f>+EDITABLE!G455</f>
        <v>0</v>
      </c>
      <c r="H408" s="3">
        <f>+EDITABLE!H455</f>
        <v>0</v>
      </c>
      <c r="I408" s="3">
        <f>+EDITABLE!I455</f>
        <v>0</v>
      </c>
      <c r="J408" s="3">
        <f>+EDITABLE!J455</f>
        <v>0</v>
      </c>
      <c r="K408" s="2">
        <f>+EDITABLE!K455</f>
        <v>0</v>
      </c>
      <c r="L408" s="24">
        <f>+EDITABLE!L455</f>
        <v>0</v>
      </c>
    </row>
    <row r="409" spans="1:12" x14ac:dyDescent="0.25">
      <c r="A409" s="3">
        <f>+EDITABLE!A456</f>
        <v>0</v>
      </c>
      <c r="B409" s="6">
        <f>+EDITABLE!B456</f>
        <v>0</v>
      </c>
      <c r="C409" s="3">
        <f>+EDITABLE!C456</f>
        <v>0</v>
      </c>
      <c r="D409" s="3">
        <f>+EDITABLE!D456</f>
        <v>0</v>
      </c>
      <c r="E409" s="3">
        <f>+EDITABLE!E456</f>
        <v>0</v>
      </c>
      <c r="F409" s="3">
        <f>+EDITABLE!F456</f>
        <v>0</v>
      </c>
      <c r="G409" s="5">
        <f>+EDITABLE!G456</f>
        <v>0</v>
      </c>
      <c r="H409" s="3">
        <f>+EDITABLE!H456</f>
        <v>0</v>
      </c>
      <c r="I409" s="3">
        <f>+EDITABLE!I456</f>
        <v>0</v>
      </c>
      <c r="J409" s="3">
        <f>+EDITABLE!J456</f>
        <v>0</v>
      </c>
      <c r="K409" s="2">
        <f>+EDITABLE!K456</f>
        <v>0</v>
      </c>
      <c r="L409" s="24">
        <f>+EDITABLE!L456</f>
        <v>0</v>
      </c>
    </row>
    <row r="410" spans="1:12" x14ac:dyDescent="0.25">
      <c r="A410" s="3" t="str">
        <f>+EDITABLE!A457</f>
        <v/>
      </c>
      <c r="B410" s="6">
        <f>+EDITABLE!B457</f>
        <v>0</v>
      </c>
      <c r="C410" s="3">
        <f>+EDITABLE!C457</f>
        <v>0</v>
      </c>
      <c r="D410" s="3">
        <f>+EDITABLE!D457</f>
        <v>0</v>
      </c>
      <c r="E410" s="3">
        <f>+EDITABLE!E457</f>
        <v>0</v>
      </c>
      <c r="F410" s="3">
        <f>+EDITABLE!F457</f>
        <v>0</v>
      </c>
      <c r="G410" s="5">
        <f>+EDITABLE!G457</f>
        <v>0</v>
      </c>
      <c r="H410" s="3">
        <f>+EDITABLE!H457</f>
        <v>0</v>
      </c>
      <c r="I410" s="3">
        <f>+EDITABLE!I457</f>
        <v>0</v>
      </c>
      <c r="J410" s="3">
        <f>+EDITABLE!J457</f>
        <v>0</v>
      </c>
      <c r="K410" s="2">
        <f>+EDITABLE!K457</f>
        <v>0</v>
      </c>
      <c r="L410" s="24">
        <f>+EDITABLE!L457</f>
        <v>0</v>
      </c>
    </row>
    <row r="411" spans="1:12" x14ac:dyDescent="0.25">
      <c r="A411" s="3" t="str">
        <f>+EDITABLE!A458</f>
        <v/>
      </c>
      <c r="B411" s="6">
        <f>+EDITABLE!B458</f>
        <v>0</v>
      </c>
      <c r="C411" s="3">
        <f>+EDITABLE!C458</f>
        <v>0</v>
      </c>
      <c r="D411" s="3">
        <f>+EDITABLE!D458</f>
        <v>0</v>
      </c>
      <c r="E411" s="3">
        <f>+EDITABLE!E458</f>
        <v>0</v>
      </c>
      <c r="F411" s="3">
        <f>+EDITABLE!F458</f>
        <v>0</v>
      </c>
      <c r="G411" s="5">
        <f>+EDITABLE!G458</f>
        <v>0</v>
      </c>
      <c r="H411" s="3">
        <f>+EDITABLE!H458</f>
        <v>0</v>
      </c>
      <c r="I411" s="3">
        <f>+EDITABLE!I458</f>
        <v>0</v>
      </c>
      <c r="J411" s="3">
        <f>+EDITABLE!J458</f>
        <v>0</v>
      </c>
      <c r="K411" s="2">
        <f>+EDITABLE!K458</f>
        <v>0</v>
      </c>
      <c r="L411" s="24">
        <f>+EDITABLE!L458</f>
        <v>0</v>
      </c>
    </row>
    <row r="412" spans="1:12" x14ac:dyDescent="0.25">
      <c r="A412" s="3">
        <f>+EDITABLE!A459</f>
        <v>0</v>
      </c>
      <c r="B412" s="6">
        <f>+EDITABLE!B459</f>
        <v>0</v>
      </c>
      <c r="C412" s="3">
        <f>+EDITABLE!C459</f>
        <v>0</v>
      </c>
      <c r="D412" s="3">
        <f>+EDITABLE!D459</f>
        <v>0</v>
      </c>
      <c r="E412" s="3">
        <f>+EDITABLE!E459</f>
        <v>0</v>
      </c>
      <c r="F412" s="3">
        <f>+EDITABLE!F459</f>
        <v>0</v>
      </c>
      <c r="G412" s="5">
        <f>+EDITABLE!G459</f>
        <v>0</v>
      </c>
      <c r="H412" s="3">
        <f>+EDITABLE!H459</f>
        <v>0</v>
      </c>
      <c r="I412" s="3">
        <f>+EDITABLE!I459</f>
        <v>0</v>
      </c>
      <c r="J412" s="3">
        <f>+EDITABLE!J459</f>
        <v>0</v>
      </c>
      <c r="K412" s="2">
        <f>+EDITABLE!K459</f>
        <v>0</v>
      </c>
      <c r="L412" s="24">
        <f>+EDITABLE!L459</f>
        <v>0</v>
      </c>
    </row>
    <row r="413" spans="1:12" x14ac:dyDescent="0.25">
      <c r="A413" s="3">
        <f>+EDITABLE!A460</f>
        <v>0</v>
      </c>
      <c r="B413" s="6">
        <f>+EDITABLE!B460</f>
        <v>0</v>
      </c>
      <c r="C413" s="3">
        <f>+EDITABLE!C460</f>
        <v>0</v>
      </c>
      <c r="D413" s="3">
        <f>+EDITABLE!D460</f>
        <v>0</v>
      </c>
      <c r="E413" s="3">
        <f>+EDITABLE!E460</f>
        <v>0</v>
      </c>
      <c r="F413" s="3">
        <f>+EDITABLE!F460</f>
        <v>0</v>
      </c>
      <c r="G413" s="5">
        <f>+EDITABLE!G460</f>
        <v>0</v>
      </c>
      <c r="H413" s="3">
        <f>+EDITABLE!H460</f>
        <v>0</v>
      </c>
      <c r="I413" s="3">
        <f>+EDITABLE!I460</f>
        <v>0</v>
      </c>
      <c r="J413" s="3">
        <f>+EDITABLE!J460</f>
        <v>0</v>
      </c>
      <c r="K413" s="2">
        <f>+EDITABLE!K460</f>
        <v>0</v>
      </c>
      <c r="L413" s="24">
        <f>+EDITABLE!L460</f>
        <v>0</v>
      </c>
    </row>
    <row r="414" spans="1:12" x14ac:dyDescent="0.25">
      <c r="A414" s="3">
        <f>+EDITABLE!A461</f>
        <v>0</v>
      </c>
      <c r="B414" s="6">
        <f>+EDITABLE!B461</f>
        <v>0</v>
      </c>
      <c r="C414" s="3">
        <f>+EDITABLE!C461</f>
        <v>0</v>
      </c>
      <c r="D414" s="3">
        <f>+EDITABLE!D461</f>
        <v>0</v>
      </c>
      <c r="E414" s="3">
        <f>+EDITABLE!E461</f>
        <v>0</v>
      </c>
      <c r="F414" s="3">
        <f>+EDITABLE!F461</f>
        <v>0</v>
      </c>
      <c r="G414" s="5">
        <f>+EDITABLE!G461</f>
        <v>0</v>
      </c>
      <c r="H414" s="3">
        <f>+EDITABLE!H461</f>
        <v>0</v>
      </c>
      <c r="I414" s="3">
        <f>+EDITABLE!I461</f>
        <v>0</v>
      </c>
      <c r="J414" s="3">
        <f>+EDITABLE!J461</f>
        <v>0</v>
      </c>
      <c r="K414" s="2">
        <f>+EDITABLE!K461</f>
        <v>0</v>
      </c>
      <c r="L414" s="24">
        <f>+EDITABLE!L461</f>
        <v>0</v>
      </c>
    </row>
    <row r="415" spans="1:12" x14ac:dyDescent="0.25">
      <c r="A415" s="3">
        <f>+EDITABLE!A462</f>
        <v>0</v>
      </c>
      <c r="B415" s="6">
        <f>+EDITABLE!B462</f>
        <v>0</v>
      </c>
      <c r="C415" s="3">
        <f>+EDITABLE!C462</f>
        <v>0</v>
      </c>
      <c r="D415" s="3">
        <f>+EDITABLE!D462</f>
        <v>0</v>
      </c>
      <c r="E415" s="3">
        <f>+EDITABLE!E462</f>
        <v>0</v>
      </c>
      <c r="F415" s="3">
        <f>+EDITABLE!F462</f>
        <v>0</v>
      </c>
      <c r="G415" s="5">
        <f>+EDITABLE!G462</f>
        <v>0</v>
      </c>
      <c r="H415" s="3">
        <f>+EDITABLE!H462</f>
        <v>0</v>
      </c>
      <c r="I415" s="3">
        <f>+EDITABLE!I462</f>
        <v>0</v>
      </c>
      <c r="J415" s="3">
        <f>+EDITABLE!J462</f>
        <v>0</v>
      </c>
      <c r="K415" s="2">
        <f>+EDITABLE!K462</f>
        <v>0</v>
      </c>
      <c r="L415" s="24">
        <f>+EDITABLE!L462</f>
        <v>0</v>
      </c>
    </row>
    <row r="416" spans="1:12" x14ac:dyDescent="0.25">
      <c r="A416" s="3">
        <f>+EDITABLE!A463</f>
        <v>0</v>
      </c>
      <c r="B416" s="6">
        <f>+EDITABLE!B463</f>
        <v>0</v>
      </c>
      <c r="C416" s="3">
        <f>+EDITABLE!C463</f>
        <v>0</v>
      </c>
      <c r="D416" s="3">
        <f>+EDITABLE!D463</f>
        <v>0</v>
      </c>
      <c r="E416" s="3">
        <f>+EDITABLE!E463</f>
        <v>0</v>
      </c>
      <c r="F416" s="3">
        <f>+EDITABLE!F463</f>
        <v>0</v>
      </c>
      <c r="G416" s="5">
        <f>+EDITABLE!G463</f>
        <v>0</v>
      </c>
      <c r="H416" s="3">
        <f>+EDITABLE!H463</f>
        <v>0</v>
      </c>
      <c r="I416" s="3">
        <f>+EDITABLE!I463</f>
        <v>0</v>
      </c>
      <c r="J416" s="3">
        <f>+EDITABLE!J463</f>
        <v>0</v>
      </c>
      <c r="K416" s="2">
        <f>+EDITABLE!K463</f>
        <v>0</v>
      </c>
      <c r="L416" s="24">
        <f>+EDITABLE!L463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858E-43DE-4E82-A3A5-410F89AC3CCF}">
  <dimension ref="A8:F38"/>
  <sheetViews>
    <sheetView topLeftCell="A4" zoomScale="90" zoomScaleNormal="90" workbookViewId="0">
      <selection activeCell="F9" sqref="F9"/>
    </sheetView>
  </sheetViews>
  <sheetFormatPr baseColWidth="10" defaultRowHeight="15" x14ac:dyDescent="0.25"/>
  <cols>
    <col min="2" max="2" width="31.7109375" bestFit="1" customWidth="1"/>
    <col min="3" max="3" width="20.28515625" bestFit="1" customWidth="1"/>
    <col min="4" max="4" width="15.85546875" customWidth="1"/>
  </cols>
  <sheetData>
    <row r="8" spans="1:4" ht="21" x14ac:dyDescent="0.35">
      <c r="A8" s="29" t="s">
        <v>578</v>
      </c>
      <c r="B8" s="29" t="s">
        <v>579</v>
      </c>
      <c r="C8" s="29" t="s">
        <v>68</v>
      </c>
      <c r="D8" s="29" t="s">
        <v>691</v>
      </c>
    </row>
    <row r="9" spans="1:4" ht="18.75" x14ac:dyDescent="0.3">
      <c r="A9" s="28">
        <v>1</v>
      </c>
      <c r="B9" s="16" t="str">
        <f>+EDITABLE!H365</f>
        <v>ASESORÍA TÉCNICA VIAL</v>
      </c>
      <c r="C9" s="34">
        <f>SUM(EDITABLE!K365:K375)</f>
        <v>1160.44</v>
      </c>
      <c r="D9" s="36">
        <v>6</v>
      </c>
    </row>
    <row r="10" spans="1:4" ht="18.75" x14ac:dyDescent="0.3">
      <c r="A10" s="28">
        <v>2</v>
      </c>
      <c r="B10" s="16" t="str">
        <f>+EDITABLE!H13</f>
        <v>AULA-C1</v>
      </c>
      <c r="C10" s="34">
        <f>SUM(EDITABLE!K13:K23)</f>
        <v>879.7</v>
      </c>
      <c r="D10" s="36">
        <v>8</v>
      </c>
    </row>
    <row r="11" spans="1:4" ht="18.75" x14ac:dyDescent="0.3">
      <c r="A11" s="28">
        <v>3</v>
      </c>
      <c r="B11" s="16" t="str">
        <f>+EDITABLE!H25</f>
        <v>AULA-C2</v>
      </c>
      <c r="C11" s="34">
        <f>SUM(EDITABLE!K25:K37)</f>
        <v>917.7</v>
      </c>
      <c r="D11" s="36">
        <v>10</v>
      </c>
    </row>
    <row r="12" spans="1:4" ht="18.75" x14ac:dyDescent="0.3">
      <c r="A12" s="28">
        <v>4</v>
      </c>
      <c r="B12" s="16" t="str">
        <f>+EDITABLE!H39</f>
        <v>AULA-C3</v>
      </c>
      <c r="C12" s="34">
        <f>SUM(EDITABLE!K39:K49)</f>
        <v>915</v>
      </c>
      <c r="D12" s="36">
        <v>8</v>
      </c>
    </row>
    <row r="13" spans="1:4" ht="18.75" x14ac:dyDescent="0.3">
      <c r="A13" s="28">
        <v>5</v>
      </c>
      <c r="B13" s="16" t="str">
        <f>+EDITABLE!H65</f>
        <v>AULA-D1</v>
      </c>
      <c r="C13" s="34">
        <f>SUM(EDITABLE!K65:K75)</f>
        <v>1115.97</v>
      </c>
      <c r="D13" s="36">
        <v>8</v>
      </c>
    </row>
    <row r="14" spans="1:4" ht="18.75" x14ac:dyDescent="0.3">
      <c r="A14" s="28">
        <v>6</v>
      </c>
      <c r="B14" s="16" t="str">
        <f>+EDITABLE!H77</f>
        <v>AULA-E1</v>
      </c>
      <c r="C14" s="34">
        <f>SUM(EDITABLE!K77:K86)</f>
        <v>1090.3700000000001</v>
      </c>
      <c r="D14" s="36">
        <v>7</v>
      </c>
    </row>
    <row r="15" spans="1:4" ht="18.75" x14ac:dyDescent="0.3">
      <c r="A15" s="28">
        <v>7</v>
      </c>
      <c r="B15" s="16" t="str">
        <f>+EDITABLE!H51</f>
        <v xml:space="preserve">AULA-E2 </v>
      </c>
      <c r="C15" s="34">
        <f>SUM(EDITABLE!K51:K63)</f>
        <v>1077.72</v>
      </c>
      <c r="D15" s="36">
        <v>10</v>
      </c>
    </row>
    <row r="16" spans="1:4" ht="18.75" x14ac:dyDescent="0.3">
      <c r="A16" s="28">
        <v>8</v>
      </c>
      <c r="B16" s="16" t="str">
        <f>+EDITABLE!H88</f>
        <v>AULA-E3</v>
      </c>
      <c r="C16" s="34">
        <f>SUM(EDITABLE!K88:K97)</f>
        <v>929.62000000000012</v>
      </c>
      <c r="D16" s="36">
        <v>7</v>
      </c>
    </row>
    <row r="17" spans="1:4" ht="18.75" x14ac:dyDescent="0.3">
      <c r="A17" s="28">
        <v>9</v>
      </c>
      <c r="B17" s="16" t="str">
        <f>+EDITABLE!H377</f>
        <v>AULA-MEC</v>
      </c>
      <c r="C17" s="34">
        <f>SUM(EDITABLE!K377:K381)</f>
        <v>466</v>
      </c>
      <c r="D17" s="36">
        <v>2</v>
      </c>
    </row>
    <row r="18" spans="1:4" ht="18.75" x14ac:dyDescent="0.3">
      <c r="A18" s="28">
        <v>10</v>
      </c>
      <c r="B18" s="16" t="str">
        <f>+EDITABLE!H403</f>
        <v>BODEGA GRANDE</v>
      </c>
      <c r="C18" s="34">
        <f>SUM(EDITABLE!K403:K441)</f>
        <v>971.2</v>
      </c>
      <c r="D18" s="36">
        <v>37</v>
      </c>
    </row>
    <row r="19" spans="1:4" ht="18.75" x14ac:dyDescent="0.3">
      <c r="A19" s="28">
        <v>11</v>
      </c>
      <c r="B19" s="16" t="str">
        <f>+EDITABLE!H205</f>
        <v>BODEGA SUMINISTROS</v>
      </c>
      <c r="C19" s="34">
        <f>SUM(EDITABLE!K205:K208)</f>
        <v>200</v>
      </c>
      <c r="D19" s="36">
        <v>1</v>
      </c>
    </row>
    <row r="20" spans="1:4" ht="18.75" x14ac:dyDescent="0.3">
      <c r="A20" s="28">
        <v>12</v>
      </c>
      <c r="B20" s="16" t="str">
        <f>+EDITABLE!H337</f>
        <v>CALLE PRINCIPAL</v>
      </c>
      <c r="C20" s="34">
        <f>SUM(EDITABLE!K337:K341)</f>
        <v>25</v>
      </c>
      <c r="D20" s="36">
        <v>2</v>
      </c>
    </row>
    <row r="21" spans="1:4" ht="18.75" x14ac:dyDescent="0.3">
      <c r="A21" s="28">
        <v>13</v>
      </c>
      <c r="B21" s="16" t="str">
        <f>+EDITABLE!H153</f>
        <v>CONTABILIDAD</v>
      </c>
      <c r="C21" s="34">
        <f>SUM(EDITABLE!K153:K161)</f>
        <v>816.6</v>
      </c>
      <c r="D21" s="36">
        <v>6</v>
      </c>
    </row>
    <row r="22" spans="1:4" ht="18.75" x14ac:dyDescent="0.3">
      <c r="A22" s="28">
        <v>14</v>
      </c>
      <c r="B22" s="16" t="str">
        <f>+EDITABLE!H388</f>
        <v>CUARTO DE RED</v>
      </c>
      <c r="C22" s="34">
        <f>SUM(EDITABLE!K388:K398)</f>
        <v>4725.1900000000005</v>
      </c>
      <c r="D22" s="36">
        <v>8</v>
      </c>
    </row>
    <row r="23" spans="1:4" ht="18.75" x14ac:dyDescent="0.3">
      <c r="A23" s="28">
        <v>15</v>
      </c>
      <c r="B23" s="16" t="str">
        <f>+EDITABLE!H343</f>
        <v>FISCALIZACIÓN</v>
      </c>
      <c r="C23" s="34">
        <f>SUM(EDITABLE!K343:K357)</f>
        <v>943.7</v>
      </c>
      <c r="D23" s="36">
        <v>12</v>
      </c>
    </row>
    <row r="24" spans="1:4" ht="18.75" x14ac:dyDescent="0.3">
      <c r="A24" s="28">
        <v>16</v>
      </c>
      <c r="B24" s="16" t="str">
        <f>+EDITABLE!H359</f>
        <v>FUNERARIA</v>
      </c>
      <c r="C24" s="34">
        <f>SUM(EDITABLE!K359:K363)</f>
        <v>30.74</v>
      </c>
      <c r="D24" s="36">
        <v>2</v>
      </c>
    </row>
    <row r="25" spans="1:4" ht="18.75" x14ac:dyDescent="0.3">
      <c r="A25" s="28">
        <v>17</v>
      </c>
      <c r="B25" s="16" t="str">
        <f>+EDITABLE!H383</f>
        <v>HOSTAL</v>
      </c>
      <c r="C25" s="34">
        <f>SUM(EDITABLE!K383:K386)</f>
        <v>80</v>
      </c>
      <c r="D25" s="36">
        <v>1</v>
      </c>
    </row>
    <row r="26" spans="1:4" ht="18.75" x14ac:dyDescent="0.3">
      <c r="A26" s="28">
        <v>18</v>
      </c>
      <c r="B26" s="16" t="str">
        <f>+EDITABLE!H210</f>
        <v>INSPECCIÓN GENERAL</v>
      </c>
      <c r="C26" s="34">
        <f>SUM(EDITABLE!K210:K218)</f>
        <v>640</v>
      </c>
      <c r="D26" s="36">
        <v>6</v>
      </c>
    </row>
    <row r="27" spans="1:4" ht="18.75" x14ac:dyDescent="0.3">
      <c r="A27" s="28">
        <v>19</v>
      </c>
      <c r="B27" s="16" t="str">
        <f>+EDITABLE!H235</f>
        <v>LABORATORIO COMPUTACIÓN</v>
      </c>
      <c r="C27" s="34">
        <f>SUM(EDITABLE!K235:K324)</f>
        <v>6054</v>
      </c>
      <c r="D27" s="36">
        <v>87</v>
      </c>
    </row>
    <row r="28" spans="1:4" ht="18.75" x14ac:dyDescent="0.3">
      <c r="A28" s="28">
        <v>20</v>
      </c>
      <c r="B28" s="16" t="str">
        <f>+EDITABLE!H198</f>
        <v>PASILLO GRADAS</v>
      </c>
      <c r="C28" s="34">
        <f>SUM(EDITABLE!K198:K203)</f>
        <v>90</v>
      </c>
      <c r="D28" s="36">
        <v>3</v>
      </c>
    </row>
    <row r="29" spans="1:4" ht="18.75" x14ac:dyDescent="0.3">
      <c r="A29" s="28">
        <v>21</v>
      </c>
      <c r="B29" s="16" t="str">
        <f>+EDITABLE!H189</f>
        <v>PASILLO OFICINAS</v>
      </c>
      <c r="C29" s="34">
        <f>SUM(EDITABLE!K189:K196)</f>
        <v>3520.32</v>
      </c>
      <c r="D29" s="36">
        <v>5</v>
      </c>
    </row>
    <row r="30" spans="1:4" ht="18.75" x14ac:dyDescent="0.3">
      <c r="A30" s="28">
        <v>22</v>
      </c>
      <c r="B30" s="16" t="str">
        <f>+EDITABLE!H326</f>
        <v>PATIO</v>
      </c>
      <c r="C30" s="34">
        <f>SUM(EDITABLE!K326:K335)</f>
        <v>175</v>
      </c>
      <c r="D30" s="36">
        <v>7</v>
      </c>
    </row>
    <row r="31" spans="1:4" ht="18.75" x14ac:dyDescent="0.3">
      <c r="A31" s="28">
        <v>23</v>
      </c>
      <c r="B31" s="16" t="str">
        <f>+EDITABLE!H105</f>
        <v>PSICOSENSOMÉTRICO 1</v>
      </c>
      <c r="C31" s="34">
        <f>SUM(EDITABLE!K105:K122)</f>
        <v>7840</v>
      </c>
      <c r="D31" s="36">
        <v>15</v>
      </c>
    </row>
    <row r="32" spans="1:4" ht="18.75" x14ac:dyDescent="0.3">
      <c r="A32" s="28">
        <v>24</v>
      </c>
      <c r="B32" s="16" t="str">
        <f>+EDITABLE!H124</f>
        <v>PSICOSENSOMÉTRICO 2</v>
      </c>
      <c r="C32" s="34">
        <f>SUM(EDITABLE!K124:K139)</f>
        <v>15680</v>
      </c>
      <c r="D32" s="36">
        <v>13</v>
      </c>
    </row>
    <row r="33" spans="1:6" ht="18.75" x14ac:dyDescent="0.3">
      <c r="A33" s="28">
        <v>25</v>
      </c>
      <c r="B33" s="16" t="str">
        <f>+EDITABLE!H99</f>
        <v>SALON DE ACTOS</v>
      </c>
      <c r="C33" s="34">
        <f>SUM(EDITABLE!K99:K103)</f>
        <v>105</v>
      </c>
      <c r="D33" s="36">
        <v>2</v>
      </c>
      <c r="F33" s="27"/>
    </row>
    <row r="34" spans="1:6" ht="18.75" x14ac:dyDescent="0.3">
      <c r="A34" s="28">
        <v>26</v>
      </c>
      <c r="B34" s="16" t="str">
        <f>+EDITABLE!H163</f>
        <v>SECRETARÍA AACC Y ESCUELA</v>
      </c>
      <c r="C34" s="34">
        <f>SUM(EDITABLE!K163:K187)</f>
        <v>1981.2</v>
      </c>
      <c r="D34" s="36">
        <v>22</v>
      </c>
    </row>
    <row r="35" spans="1:6" ht="18.75" x14ac:dyDescent="0.3">
      <c r="A35" s="28">
        <v>27</v>
      </c>
      <c r="B35" s="16" t="str">
        <f>+EDITABLE!H220</f>
        <v>SECRETARIA GENERAL</v>
      </c>
      <c r="C35" s="34">
        <f>SUM(EDITABLE!K220:K233)</f>
        <v>2265</v>
      </c>
      <c r="D35" s="36">
        <v>11</v>
      </c>
    </row>
    <row r="36" spans="1:6" ht="18.75" x14ac:dyDescent="0.3">
      <c r="A36" s="28">
        <v>28</v>
      </c>
      <c r="B36" s="16" t="str">
        <f>+EDITABLE!H141</f>
        <v>TESORERÍA</v>
      </c>
      <c r="C36" s="34">
        <f>SUM(EDITABLE!K141:K151)</f>
        <v>1005.6</v>
      </c>
      <c r="D36" s="36">
        <v>8</v>
      </c>
    </row>
    <row r="37" spans="1:6" ht="18.75" x14ac:dyDescent="0.3">
      <c r="A37" s="15"/>
      <c r="B37" s="15"/>
      <c r="C37" s="35"/>
    </row>
    <row r="38" spans="1:6" ht="18.75" x14ac:dyDescent="0.3">
      <c r="A38" s="15"/>
      <c r="B38" s="17" t="s">
        <v>581</v>
      </c>
      <c r="C38" s="34">
        <f>SUM(C9:C37)</f>
        <v>55701.07</v>
      </c>
      <c r="D38" s="33">
        <f>SUM(D9:D37)</f>
        <v>314</v>
      </c>
    </row>
  </sheetData>
  <sortState xmlns:xlrd2="http://schemas.microsoft.com/office/spreadsheetml/2017/richdata2" ref="B9:C36">
    <sortCondition ref="B9:B36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MENÚ</vt:lpstr>
      <vt:lpstr>BUSCA_PROD</vt:lpstr>
      <vt:lpstr>BUSCA_COD</vt:lpstr>
      <vt:lpstr>EDITABLE</vt:lpstr>
      <vt:lpstr>TODO_PROD</vt:lpstr>
      <vt:lpstr>TODO_COD</vt:lpstr>
      <vt:lpstr>RESUMEN X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Sindicato</dc:creator>
  <cp:lastModifiedBy>usuario</cp:lastModifiedBy>
  <cp:lastPrinted>2024-08-20T22:01:50Z</cp:lastPrinted>
  <dcterms:created xsi:type="dcterms:W3CDTF">2023-03-07T19:47:37Z</dcterms:created>
  <dcterms:modified xsi:type="dcterms:W3CDTF">2025-12-17T19:37:58Z</dcterms:modified>
</cp:coreProperties>
</file>